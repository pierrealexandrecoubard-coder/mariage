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5"/>
    <sheet name="Plan d'actions" sheetId="2" r:id="rId6"/>
    <sheet name="Programme" sheetId="3" r:id="rId7"/>
    <sheet name="Budget - Budget" sheetId="4" r:id="rId8"/>
    <sheet name="Budget - Dépenses réelles" sheetId="5" r:id="rId9"/>
    <sheet name="Invités" sheetId="6" r:id="rId10"/>
    <sheet name="Témoins &amp; Honneurs - Tableau 1" sheetId="7" r:id="rId11"/>
    <sheet name="Témoins &amp; Honneurs - Tableau 1-" sheetId="8" r:id="rId12"/>
    <sheet name="EVJF &amp; EVG - Léa" sheetId="9" r:id="rId13"/>
    <sheet name="EVJF &amp; EVG - PA" sheetId="10" r:id="rId14"/>
    <sheet name="Lieu" sheetId="11" r:id="rId15"/>
    <sheet name="Repas - Tableau 1" sheetId="12" r:id="rId16"/>
    <sheet name="Repas - Gauthier traiteur" sheetId="13" r:id="rId17"/>
    <sheet name="Repas - Devis Food Truck" sheetId="14" r:id="rId18"/>
    <sheet name="Repas - Devis Brunch" sheetId="15" r:id="rId19"/>
    <sheet name="Couchages - Lodge" sheetId="16" r:id="rId20"/>
    <sheet name="Couchages - Maison" sheetId="17" r:id="rId21"/>
    <sheet name="Couchages - Cabane" sheetId="18" r:id="rId22"/>
    <sheet name="Couchages - Tipis" sheetId="19" r:id="rId23"/>
    <sheet name="Photos &amp; Vidéos - Tableau 1" sheetId="20" r:id="rId24"/>
    <sheet name="Photos &amp; Vidéos - Groupe photos" sheetId="21" r:id="rId25"/>
    <sheet name="Musique" sheetId="22" r:id="rId26"/>
    <sheet name="Activités - Tableau 1" sheetId="23" r:id="rId27"/>
    <sheet name="Activités - Devis Coordinatrice" sheetId="24" r:id="rId28"/>
    <sheet name="Habillement" sheetId="25" r:id="rId29"/>
    <sheet name="Voiture" sheetId="26" r:id="rId30"/>
    <sheet name="Décorations - Tableau 1" sheetId="27" r:id="rId31"/>
    <sheet name="Décorations - Devis Fleuriste" sheetId="28" r:id="rId32"/>
    <sheet name="Coiffure_Maquillage - Devis Mak" sheetId="29" r:id="rId33"/>
    <sheet name="Coiffure_Maquillage - Devis Coi" sheetId="30" r:id="rId34"/>
    <sheet name="Alliances" sheetId="31" r:id="rId35"/>
    <sheet name="Notaire" sheetId="32" r:id="rId36"/>
    <sheet name="Lune de miel" sheetId="33" r:id="rId37"/>
    <sheet name=" Cérémonie mairie" sheetId="34" r:id="rId38"/>
    <sheet name=" Cérémonie religieuse - Budget" sheetId="35" r:id="rId3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<sst xmlns="http://schemas.openxmlformats.org/spreadsheetml/2006/main" uniqueCount="1394">
  <si>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</si>
  <si>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</si>
  <si>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</si>
  <si>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</si>
  <si>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Plan d'actions</t>
  </si>
  <si>
    <t>Tableau 1</t>
  </si>
  <si>
    <t>Tâche</t>
  </si>
  <si>
    <t>ETA</t>
  </si>
  <si>
    <t>Responsable</t>
  </si>
  <si>
    <t>Statut</t>
  </si>
  <si>
    <t>Cocher les invités éligibles aux faire-part</t>
  </si>
  <si>
    <t>Léa GINTZ</t>
  </si>
  <si>
    <t>Terminé</t>
  </si>
  <si>
    <t>Pierre-Alexandre COUBARD</t>
  </si>
  <si>
    <t>En cours</t>
  </si>
  <si>
    <t>Réserver les visites de lieux</t>
  </si>
  <si>
    <t>Léa GINTZ &amp; Pierre-Alexandre COUBARD</t>
  </si>
  <si>
    <t>Faire un premier modèle de faire-part digital</t>
  </si>
  <si>
    <t>Rechercher les prestataires de brunch</t>
  </si>
  <si>
    <t>Faire la liste des VIP</t>
  </si>
  <si>
    <t>Trouver église</t>
  </si>
  <si>
    <t>Remplir tableau invités (adresse, tel, mail)</t>
  </si>
  <si>
    <t>Première ébauche programme</t>
  </si>
  <si>
    <t>Valider la répartition hébergements</t>
  </si>
  <si>
    <t>Finir le site internet</t>
  </si>
  <si>
    <t>Non commencé</t>
  </si>
  <si>
    <t>Faire dossier mariage église</t>
  </si>
  <si>
    <t xml:space="preserve">Faire dossier préparation mariage </t>
  </si>
  <si>
    <t>Déposer dossier mariage civil à la mairie</t>
  </si>
  <si>
    <t>Réfléchir au repas du vendredi soir</t>
  </si>
  <si>
    <t>Réserver vidéaste</t>
  </si>
  <si>
    <t>Réserver photographe</t>
  </si>
  <si>
    <t xml:space="preserve">Réserver DJ </t>
  </si>
  <si>
    <t>Réserver groupe de musique</t>
  </si>
  <si>
    <t>Réserver les 1er essais robe de mariée</t>
  </si>
  <si>
    <t>Réserver coordinatrice</t>
  </si>
  <si>
    <t>Choisir robe mariée</t>
  </si>
  <si>
    <t>Chercher Airbnb Sillé pour jeudi soir</t>
  </si>
  <si>
    <t>Organiser le programme musical</t>
  </si>
  <si>
    <t>Trouver chorale ou groupe de gospel</t>
  </si>
  <si>
    <t>Terminer site internet</t>
  </si>
  <si>
    <t>Envoyer les save-the-date + faire-part à tous les invités</t>
  </si>
  <si>
    <t>Commencer recherche coiffeuse &amp; maquilleuse</t>
  </si>
  <si>
    <t>Réserver lune de miel</t>
  </si>
  <si>
    <t>Réserver voiture</t>
  </si>
  <si>
    <t>Choisir les alliances</t>
  </si>
  <si>
    <t>Réunion d'organisation avec témoins (brief général)</t>
  </si>
  <si>
    <t>Acheter robe mairie, soirée &amp; brunch</t>
  </si>
  <si>
    <t>Réserver fleuriste</t>
  </si>
  <si>
    <t>Commander costume marié</t>
  </si>
  <si>
    <t xml:space="preserve">Finir le plan de table </t>
  </si>
  <si>
    <t>Valider programme final week-end</t>
  </si>
  <si>
    <t>Définir le thème / décoration générale du mariage (faire mood board)</t>
  </si>
  <si>
    <t xml:space="preserve">Prendre rdv chez le notaire pour contrat de mariage </t>
  </si>
  <si>
    <t>Préparer les discours / vœux</t>
  </si>
  <si>
    <t>Réunion finale avec témoins (timing, rôles, surprises)</t>
  </si>
  <si>
    <t>Envoyer les remerciements à tous les invités</t>
  </si>
  <si>
    <t xml:space="preserve">Tâches restantes </t>
  </si>
  <si>
    <t>Travail fait —&gt;</t>
  </si>
  <si>
    <t>Programme</t>
  </si>
  <si>
    <t>ORGANISATION</t>
  </si>
  <si>
    <t>Date</t>
  </si>
  <si>
    <t>Heure début</t>
  </si>
  <si>
    <t>Heure fin</t>
  </si>
  <si>
    <t>Activité</t>
  </si>
  <si>
    <t>Lieu</t>
  </si>
  <si>
    <t>Remarques</t>
  </si>
  <si>
    <t>Vendredi
13 août 2027</t>
  </si>
  <si>
    <t>08h00</t>
  </si>
  <si>
    <t>Récupération de la Porsche à Sartrouville</t>
  </si>
  <si>
    <t>PA</t>
  </si>
  <si>
    <t>Sartrouville</t>
  </si>
  <si>
    <t>11h00</t>
  </si>
  <si>
    <t>11h30</t>
  </si>
  <si>
    <t>Cérémonie civile — mairie</t>
  </si>
  <si>
    <t>Léa &amp; PA</t>
  </si>
  <si>
    <t>Mairie de Sillé-le-Guillaume</t>
  </si>
  <si>
    <t>13h00</t>
  </si>
  <si>
    <t>Déjeuner au restaurant</t>
  </si>
  <si>
    <t>TBD</t>
  </si>
  <si>
    <t>Sillé-le-Guillaume</t>
  </si>
  <si>
    <t>15h30</t>
  </si>
  <si>
    <t>Route vers le Domaine de Meaucé</t>
  </si>
  <si>
    <t>Domaine de Meaucé</t>
  </si>
  <si>
    <t>14h00</t>
  </si>
  <si>
    <t>Récupération du domaine</t>
  </si>
  <si>
    <t>19h00</t>
  </si>
  <si>
    <t>22h00</t>
  </si>
  <si>
    <t>Dîner Tarte Flambée</t>
  </si>
  <si>
    <t>Flamman</t>
  </si>
  <si>
    <t>Samedi
14 août 2027</t>
  </si>
  <si>
    <t>TBF</t>
  </si>
  <si>
    <t>Petit-déjeuner du samedi matin</t>
  </si>
  <si>
    <t>Domaine</t>
  </si>
  <si>
    <t>08h30</t>
  </si>
  <si>
    <t>09h00</t>
  </si>
  <si>
    <t>Arrivée coiffure / maquillage</t>
  </si>
  <si>
    <t>Coiffeuse &amp; maquilleuse</t>
  </si>
  <si>
    <t>Arrivée de Tiphany — installation générale</t>
  </si>
  <si>
    <t>Tiphany + assistante</t>
  </si>
  <si>
    <t>12h30</t>
  </si>
  <si>
    <t>Préparatifs Léa</t>
  </si>
  <si>
    <t>Léa, coiffeuse, témoins, photographe, vidéaste</t>
  </si>
  <si>
    <t>Préparatifs PA</t>
  </si>
  <si>
    <t>PA, témoins, photographe, vidéaste</t>
  </si>
  <si>
    <t>12h00</t>
  </si>
  <si>
    <t>12h45</t>
  </si>
  <si>
    <t>Déjeuner léger du samedi midi</t>
  </si>
  <si>
    <t>Libre</t>
  </si>
  <si>
    <t>Habillage final</t>
  </si>
  <si>
    <t>13h30</t>
  </si>
  <si>
    <t>Départ vers l'église</t>
  </si>
  <si>
    <t>Chauffeur LRM</t>
  </si>
  <si>
    <t>Domaine → Église</t>
  </si>
  <si>
    <t>14h45</t>
  </si>
  <si>
    <t>Accueil des invités à l'église</t>
  </si>
  <si>
    <t>Église Saint-Pierre de Manou</t>
  </si>
  <si>
    <t>Arrivée de PA à l'église</t>
  </si>
  <si>
    <t>PA, Constance</t>
  </si>
  <si>
    <t>Arrivée de Léa à l'église</t>
  </si>
  <si>
    <t>Léa, Christophe G</t>
  </si>
  <si>
    <t>15h00</t>
  </si>
  <si>
    <t>16h00</t>
  </si>
  <si>
    <t>Cérémonie religieuse</t>
  </si>
  <si>
    <t>16h40</t>
  </si>
  <si>
    <t>Sortie &amp; photos de groupe prioritaires</t>
  </si>
  <si>
    <t>Photographe, vidéaste</t>
  </si>
  <si>
    <t>Église (parvis)</t>
  </si>
  <si>
    <t>Retour vers le domaine</t>
  </si>
  <si>
    <t>Accueil soft par traiteur, installations pour ceux qui dorment sur place, photo pour Léa &amp; PA</t>
  </si>
  <si>
    <t>Tiphany</t>
  </si>
  <si>
    <t>Photos</t>
  </si>
  <si>
    <t>19h30</t>
  </si>
  <si>
    <t>Vin d'honneur</t>
  </si>
  <si>
    <t>Traiteur, MV, Rachel Wong</t>
  </si>
  <si>
    <t>Photos de groupe et passage a table</t>
  </si>
  <si>
    <t>20h00</t>
  </si>
  <si>
    <t>Dîner assis &amp; discours</t>
  </si>
  <si>
    <t>Traiteur, famille, amis</t>
  </si>
  <si>
    <t>Changement de robe Léa</t>
  </si>
  <si>
    <t>22h05</t>
  </si>
  <si>
    <t>Première danse</t>
  </si>
  <si>
    <t>DJ</t>
  </si>
  <si>
    <t>23h05</t>
  </si>
  <si>
    <t>Concert live Seven Ages (1h)</t>
  </si>
  <si>
    <t>Seven Ages</t>
  </si>
  <si>
    <t>23h30</t>
  </si>
  <si>
    <t>Dessert</t>
  </si>
  <si>
    <t>Traiteur</t>
  </si>
  <si>
    <t>04h00</t>
  </si>
  <si>
    <t>Soirée dansante</t>
  </si>
  <si>
    <t>Coupure de la musique</t>
  </si>
  <si>
    <t>05h00</t>
  </si>
  <si>
    <t>Fin de soirée</t>
  </si>
  <si>
    <t>Dimanche
15 août 2027</t>
  </si>
  <si>
    <t>Petit-déjeuner</t>
  </si>
  <si>
    <t>Domaine (inclus)</t>
  </si>
  <si>
    <t>Pool party — piscine, brunch &amp; DJ set</t>
  </si>
  <si>
    <t>DJ, traiteur brunch</t>
  </si>
  <si>
    <t>Temps libre &amp; début du rangement</t>
  </si>
  <si>
    <t>Familles et témoins</t>
  </si>
  <si>
    <t>Check-out des tipis</t>
  </si>
  <si>
    <t>Invités des tipis</t>
  </si>
  <si>
    <t>16h30</t>
  </si>
  <si>
    <t>Check-out du lodge</t>
  </si>
  <si>
    <t>Invités du lodge</t>
  </si>
  <si>
    <t>17h00</t>
  </si>
  <si>
    <t>Check-out de la maison &amp; fin piscine/salles</t>
  </si>
  <si>
    <t>18h00</t>
  </si>
  <si>
    <t>Fin de la location</t>
  </si>
  <si>
    <t>Budget</t>
  </si>
  <si>
    <t>Budget - Budget</t>
  </si>
  <si>
    <t>Catégorie</t>
  </si>
  <si>
    <t>Budget initial</t>
  </si>
  <si>
    <t>Budget révisé</t>
  </si>
  <si>
    <t>Delta</t>
  </si>
  <si>
    <t>Réel</t>
  </si>
  <si>
    <t>Repas</t>
  </si>
  <si>
    <t>Réception</t>
  </si>
  <si>
    <t>Habillement</t>
  </si>
  <si>
    <t>Lune de miel</t>
  </si>
  <si>
    <t>Musique</t>
  </si>
  <si>
    <t xml:space="preserve">Décoration </t>
  </si>
  <si>
    <t>Alliances</t>
  </si>
  <si>
    <t>Activités</t>
  </si>
  <si>
    <t>Photos &amp; Vidéos</t>
  </si>
  <si>
    <t>Voiture</t>
  </si>
  <si>
    <t>Coiffure et maquillage</t>
  </si>
  <si>
    <t>Cérémonie mairie</t>
  </si>
  <si>
    <t>Notaire</t>
  </si>
  <si>
    <t>Cadeaux</t>
  </si>
  <si>
    <t>Total</t>
  </si>
  <si>
    <t>Dépenses réelles</t>
  </si>
  <si>
    <t>Budget - Dépenses réelles</t>
  </si>
  <si>
    <t>Description</t>
  </si>
  <si>
    <t>Montant</t>
  </si>
  <si>
    <t>Payeur</t>
  </si>
  <si>
    <t>Acompte LRM</t>
  </si>
  <si>
    <t>Acompte 1</t>
  </si>
  <si>
    <t>Acompte Maison Groovy</t>
  </si>
  <si>
    <t>Acompte Live Painting</t>
  </si>
  <si>
    <t xml:space="preserve">Léa &amp; PA </t>
  </si>
  <si>
    <t>Acompte Seven Ages</t>
  </si>
  <si>
    <t>Acompte photographe</t>
  </si>
  <si>
    <t>Acompte 2</t>
  </si>
  <si>
    <t>Acompte MV</t>
  </si>
  <si>
    <t>Acompte Wedding Planner</t>
  </si>
  <si>
    <t>Acompte Flamm’Mann</t>
  </si>
  <si>
    <t>Invités</t>
  </si>
  <si>
    <t>Nom</t>
  </si>
  <si>
    <t>Prénom</t>
  </si>
  <si>
    <t>Groupe</t>
  </si>
  <si>
    <t>Adresse postale</t>
  </si>
  <si>
    <t>Adresse email</t>
  </si>
  <si>
    <t>Portable</t>
  </si>
  <si>
    <t>Faire-part digital</t>
  </si>
  <si>
    <t>Faire-part</t>
  </si>
  <si>
    <t>Confirmation</t>
  </si>
  <si>
    <t>Mairie</t>
  </si>
  <si>
    <t>Soirée accueil</t>
  </si>
  <si>
    <t>Église</t>
  </si>
  <si>
    <t>Couchage</t>
  </si>
  <si>
    <t>Placé couchage</t>
  </si>
  <si>
    <t>Alcool</t>
  </si>
  <si>
    <t>Brunch</t>
  </si>
  <si>
    <t>VIP</t>
  </si>
  <si>
    <t>Végétarien</t>
  </si>
  <si>
    <t xml:space="preserve">Témoins &amp; Honneurs </t>
  </si>
  <si>
    <t xml:space="preserve">Lien </t>
  </si>
  <si>
    <t>Traité</t>
  </si>
  <si>
    <t>GINTZ</t>
  </si>
  <si>
    <t>Léa</t>
  </si>
  <si>
    <t>Mariés</t>
  </si>
  <si>
    <t>Adulte</t>
  </si>
  <si>
    <t>COUBARD</t>
  </si>
  <si>
    <t>Pierre-Alexandre</t>
  </si>
  <si>
    <t>Christophe</t>
  </si>
  <si>
    <t>Famille Léa</t>
  </si>
  <si>
    <t xml:space="preserve">66 rue de Saverne, 67370 Neugartheim-Ittlenheim
</t>
  </si>
  <si>
    <t>07 69 06 33 72</t>
  </si>
  <si>
    <t>Père Léa</t>
  </si>
  <si>
    <t>Alena</t>
  </si>
  <si>
    <t>06 31 58 69 45</t>
  </si>
  <si>
    <t>Mère Léa</t>
  </si>
  <si>
    <t>Romain</t>
  </si>
  <si>
    <t>07 68 68 22 01</t>
  </si>
  <si>
    <t>Frère Léa</t>
  </si>
  <si>
    <t>Amélie</t>
  </si>
  <si>
    <t>07 66 87 23 25</t>
  </si>
  <si>
    <t>Soeur Léa</t>
  </si>
  <si>
    <t>Christianne</t>
  </si>
  <si>
    <t>8 Rue de L’Église, 67370 Behlenheim-Truchtersheim</t>
  </si>
  <si>
    <t>07 67 45 63 14</t>
  </si>
  <si>
    <t>Grand-mère Léa du cote de son père</t>
  </si>
  <si>
    <t>Michel</t>
  </si>
  <si>
    <t>GRand-père Léa du cote de son pere</t>
  </si>
  <si>
    <t>ZINCK</t>
  </si>
  <si>
    <t>Gaspard</t>
  </si>
  <si>
    <t>07 67 80 36 70</t>
  </si>
  <si>
    <t>Copain d’Amélie la soeur de lléa</t>
  </si>
  <si>
    <t>HABOUZIT</t>
  </si>
  <si>
    <t>Mélissande</t>
  </si>
  <si>
    <t>06 38 36 15 46</t>
  </si>
  <si>
    <t>Copien de Romain frère de lea</t>
  </si>
  <si>
    <t>BURANOVSKA</t>
  </si>
  <si>
    <t>Elisabeth</t>
  </si>
  <si>
    <t>Babka Buranovska Alzbeta 
Svabska 78
Presov 08001
République Slovaque</t>
  </si>
  <si>
    <t>GRand mère de Léa du coté de sa mere</t>
  </si>
  <si>
    <t>TKACOVY</t>
  </si>
  <si>
    <t>Jozef</t>
  </si>
  <si>
    <t>Jozef Tkac
Podhradik 109
Podhradik 08006
République Slovaque</t>
  </si>
  <si>
    <t>+42 19 18 96 87 70</t>
  </si>
  <si>
    <t>ami du père de lea</t>
  </si>
  <si>
    <t>TKACOVA</t>
  </si>
  <si>
    <t>Marta</t>
  </si>
  <si>
    <t>Femme de Josef</t>
  </si>
  <si>
    <t>Laurence</t>
  </si>
  <si>
    <t>1 rue des Acacias, 67270 Gougenheim</t>
  </si>
  <si>
    <t>06 86 65 32 67</t>
  </si>
  <si>
    <t>Mariane de lea</t>
  </si>
  <si>
    <t>Marc</t>
  </si>
  <si>
    <t>07 85 29 27 40</t>
  </si>
  <si>
    <t>Marie de Laurence Gintz</t>
  </si>
  <si>
    <t>HILD</t>
  </si>
  <si>
    <t>Valérie</t>
  </si>
  <si>
    <t xml:space="preserve">3 rue des Tilleuls, 67270 Gougenheim </t>
  </si>
  <si>
    <t>06 38 60 61 69</t>
  </si>
  <si>
    <t>Soeur de la marraine de lea</t>
  </si>
  <si>
    <t>JOURNOT</t>
  </si>
  <si>
    <t>Daniel</t>
  </si>
  <si>
    <t>07 68 66 21 86</t>
  </si>
  <si>
    <t>Mari de Valérie</t>
  </si>
  <si>
    <t>Régis</t>
  </si>
  <si>
    <t>11 rue kobler
67370 Dingsheim</t>
  </si>
  <si>
    <t>06 70 21 98 92</t>
  </si>
  <si>
    <t>Oncle de lea du octe de osn pere</t>
  </si>
  <si>
    <t>Linda</t>
  </si>
  <si>
    <t>06 86 14 57 57</t>
  </si>
  <si>
    <t>Femme de  de regis G</t>
  </si>
  <si>
    <t>Vincent</t>
  </si>
  <si>
    <t>6 rue de la forge 67370 behlenheim</t>
  </si>
  <si>
    <t>06 12 51 56 99</t>
  </si>
  <si>
    <t>Oncle de lea du coté de son pere</t>
  </si>
  <si>
    <t>Joëlle</t>
  </si>
  <si>
    <t>Femme de Vincent G</t>
  </si>
  <si>
    <t>KIEFFER</t>
  </si>
  <si>
    <t>Jean-Marc</t>
  </si>
  <si>
    <t>10 rue des Roses, 67370 Behlenheim-Truchtersheim</t>
  </si>
  <si>
    <t>Marie</t>
  </si>
  <si>
    <t>06 64 16 62 06</t>
  </si>
  <si>
    <t>Femme de JM Kieffer</t>
  </si>
  <si>
    <t>MEYER</t>
  </si>
  <si>
    <t>Jeanne</t>
  </si>
  <si>
    <t>06 29 09 36 12</t>
  </si>
  <si>
    <t>Soeur de la grand mere de Léa Chrisitnane G</t>
  </si>
  <si>
    <t>Gilbert</t>
  </si>
  <si>
    <t>Mari de Jeanne MEYER</t>
  </si>
  <si>
    <t>GIANNIKAS</t>
  </si>
  <si>
    <t>Leonidas</t>
  </si>
  <si>
    <t>Amis Léa</t>
  </si>
  <si>
    <t>06 50 66 07 59</t>
  </si>
  <si>
    <t>Meilleur ami de Romain G</t>
  </si>
  <si>
    <t>CLAUDON</t>
  </si>
  <si>
    <t>Clémence</t>
  </si>
  <si>
    <t>06 51 89 01 85</t>
  </si>
  <si>
    <t>Amie de Lea</t>
  </si>
  <si>
    <t>NEITER</t>
  </si>
  <si>
    <t xml:space="preserve">Loanne </t>
  </si>
  <si>
    <t>06 87 47 87 68</t>
  </si>
  <si>
    <t>Armand</t>
  </si>
  <si>
    <t>07 82 24 14 29</t>
  </si>
  <si>
    <t>Copain de Loanne Neiter</t>
  </si>
  <si>
    <t>RASANAYAGAM</t>
  </si>
  <si>
    <t>Marjorie</t>
  </si>
  <si>
    <t>06 58 21 24 63</t>
  </si>
  <si>
    <t>GRISEVIC</t>
  </si>
  <si>
    <t>Leya</t>
  </si>
  <si>
    <t>06 95 28 35 29</t>
  </si>
  <si>
    <t>KAYEMBE</t>
  </si>
  <si>
    <t>Audrey</t>
  </si>
  <si>
    <t>06 60 48 09 19</t>
  </si>
  <si>
    <t>ANGOT</t>
  </si>
  <si>
    <t xml:space="preserve">Gabrielle </t>
  </si>
  <si>
    <r>
      <rPr>
        <u val="single"/>
        <sz val="10"/>
        <color indexed="8"/>
        <rFont val="Helvetica Neue"/>
      </rPr>
      <t>gabrielle.angot@gmail.com</t>
    </r>
  </si>
  <si>
    <t>06 23 67 42 40</t>
  </si>
  <si>
    <t xml:space="preserve">BERTRAND </t>
  </si>
  <si>
    <t>Louise</t>
  </si>
  <si>
    <r>
      <rPr>
        <u val="single"/>
        <sz val="10"/>
        <color indexed="8"/>
        <rFont val="Helvetica Neue"/>
      </rPr>
      <t>louisebertrand123@gmail.com</t>
    </r>
  </si>
  <si>
    <t>06 51 44 69 10</t>
  </si>
  <si>
    <t>AMBARTSONOVA</t>
  </si>
  <si>
    <t xml:space="preserve">Naza </t>
  </si>
  <si>
    <r>
      <rPr>
        <u val="single"/>
        <sz val="10"/>
        <color indexed="8"/>
        <rFont val="Helvetica Neue"/>
      </rPr>
      <t>naza31072001@gmail.com</t>
    </r>
  </si>
  <si>
    <t>06 95 03 50 64</t>
  </si>
  <si>
    <t>Famille PA</t>
  </si>
  <si>
    <t>20 Rue Du Docteur Touchard
72140 Sillé Le Guillaume
France</t>
  </si>
  <si>
    <t>Pere de PA</t>
  </si>
  <si>
    <t>MAGALHAES</t>
  </si>
  <si>
    <t>Luis</t>
  </si>
  <si>
    <t>Mari de Chrisitphe C et beau-père de PA</t>
  </si>
  <si>
    <t>Constance</t>
  </si>
  <si>
    <t>12 Rue de l’Université de Chicago
97300 CAYENNE</t>
  </si>
  <si>
    <t>Mere de PA</t>
  </si>
  <si>
    <t>LORENTE</t>
  </si>
  <si>
    <t>Hugues</t>
  </si>
  <si>
    <t>Mari de Constance C et beau père de PA</t>
  </si>
  <si>
    <t>Séverine</t>
  </si>
  <si>
    <t>1 Rue de Castelnau
68000 Colmar
France</t>
  </si>
  <si>
    <t>Soeur de PA</t>
  </si>
  <si>
    <t>BOOLUCK</t>
  </si>
  <si>
    <t>Paul</t>
  </si>
  <si>
    <t xml:space="preserve">Mari de Severine C </t>
  </si>
  <si>
    <t>Maximilien</t>
  </si>
  <si>
    <t>1 Square Padirac
75016 Paris
France</t>
  </si>
  <si>
    <t>Frere de PA</t>
  </si>
  <si>
    <t>Non traité</t>
  </si>
  <si>
    <t>HADJAR</t>
  </si>
  <si>
    <t>Isack</t>
  </si>
  <si>
    <t>Meilleur ami de MAximielin C</t>
  </si>
  <si>
    <t>VAILLANT</t>
  </si>
  <si>
    <t>Marie-France</t>
  </si>
  <si>
    <t>9 impasse de l ouillette
85200 Fontenay Le Comte
France</t>
  </si>
  <si>
    <t>Grand mere paternel PA</t>
  </si>
  <si>
    <t>RAISON</t>
  </si>
  <si>
    <t>Alain</t>
  </si>
  <si>
    <t>Conjoint de Marie FRance V</t>
  </si>
  <si>
    <t>MESLIN</t>
  </si>
  <si>
    <t>Tante et marinaen de PA</t>
  </si>
  <si>
    <t>Thierry</t>
  </si>
  <si>
    <t>Marie de tata valeire</t>
  </si>
  <si>
    <t>Antoine</t>
  </si>
  <si>
    <t>Cousin de PA</t>
  </si>
  <si>
    <t>Marion</t>
  </si>
  <si>
    <t>Copine d’antoine Meslin</t>
  </si>
  <si>
    <t>Adrien</t>
  </si>
  <si>
    <t xml:space="preserve">Cousin de PA </t>
  </si>
  <si>
    <t>Noémie</t>
  </si>
  <si>
    <t>Copine d’adrien MEslin</t>
  </si>
  <si>
    <t>Malaurie</t>
  </si>
  <si>
    <t>Cousine de PA</t>
  </si>
  <si>
    <t>Copain de Malaurie C</t>
  </si>
  <si>
    <t xml:space="preserve">Stéphane </t>
  </si>
  <si>
    <t>Oncle paternel de PA</t>
  </si>
  <si>
    <t>Sandrine</t>
  </si>
  <si>
    <t>Copien de Stephane Coubard</t>
  </si>
  <si>
    <t>JANSSENS</t>
  </si>
  <si>
    <t>Cacotte</t>
  </si>
  <si>
    <t>Meilleur amis de Christophe C</t>
  </si>
  <si>
    <t>Marco</t>
  </si>
  <si>
    <t xml:space="preserve">Mari de Cacotte </t>
  </si>
  <si>
    <t>MENSAH</t>
  </si>
  <si>
    <t>Théo</t>
  </si>
  <si>
    <t>48 rue salvador allende
92000 Nanterre
France</t>
  </si>
  <si>
    <t>Oncle maternel de PA</t>
  </si>
  <si>
    <t>Claude</t>
  </si>
  <si>
    <t>Mickael</t>
  </si>
  <si>
    <t>Guy</t>
  </si>
  <si>
    <t>Maéva</t>
  </si>
  <si>
    <t>Cousine maternele de PA</t>
  </si>
  <si>
    <t>Giresse</t>
  </si>
  <si>
    <t>Copien de Giresse</t>
  </si>
  <si>
    <t>Pauline</t>
  </si>
  <si>
    <t>Grand mere maternelle de PA</t>
  </si>
  <si>
    <t>Gisèle</t>
  </si>
  <si>
    <t>Mère de Hugues, considère comme grande mere de PA</t>
  </si>
  <si>
    <t>Salvador</t>
  </si>
  <si>
    <t>Mari de Gislee</t>
  </si>
  <si>
    <t>Clément</t>
  </si>
  <si>
    <t>Fils de Hugues, demi frère mais pas de sang de PA</t>
  </si>
  <si>
    <t>Charles</t>
  </si>
  <si>
    <t>OSSÉ</t>
  </si>
  <si>
    <t>Céline</t>
  </si>
  <si>
    <t>Meilleure amie de Constance C</t>
  </si>
  <si>
    <t>Pascale</t>
  </si>
  <si>
    <t>Fille de Céline Ossé</t>
  </si>
  <si>
    <t>Stéphanie</t>
  </si>
  <si>
    <t>Sidney</t>
  </si>
  <si>
    <t>Fils de Céline Ossé</t>
  </si>
  <si>
    <t>HARO</t>
  </si>
  <si>
    <t>Alexandre</t>
  </si>
  <si>
    <t>Amis PA</t>
  </si>
  <si>
    <t>Meilleur Ami PA</t>
  </si>
  <si>
    <t>DOUMEN</t>
  </si>
  <si>
    <t>Yoann</t>
  </si>
  <si>
    <t>VUILLEMIN</t>
  </si>
  <si>
    <t>Laure</t>
  </si>
  <si>
    <t>Copine de Yoann doumen</t>
  </si>
  <si>
    <t>BAUDIMANT</t>
  </si>
  <si>
    <t>Goulven</t>
  </si>
  <si>
    <t xml:space="preserve">Copine de Gouvlen </t>
  </si>
  <si>
    <t>BAKTHA</t>
  </si>
  <si>
    <t>Bilel</t>
  </si>
  <si>
    <t>Lucile</t>
  </si>
  <si>
    <t>Copien de Bilel</t>
  </si>
  <si>
    <t>AUBERT</t>
  </si>
  <si>
    <t>Olivier</t>
  </si>
  <si>
    <t>Ami PA</t>
  </si>
  <si>
    <t>DIOUNOU</t>
  </si>
  <si>
    <t>Jordan</t>
  </si>
  <si>
    <t>SAO-CORDIEZ</t>
  </si>
  <si>
    <t>Aimé</t>
  </si>
  <si>
    <t>JAUERNIG</t>
  </si>
  <si>
    <t>Luke</t>
  </si>
  <si>
    <t>GAMBUT</t>
  </si>
  <si>
    <t>Elliot</t>
  </si>
  <si>
    <t>Alina</t>
  </si>
  <si>
    <t>Copine d’Elliot G</t>
  </si>
  <si>
    <t>VIEYRA</t>
  </si>
  <si>
    <t>GLAUDE</t>
  </si>
  <si>
    <t>Jonathan</t>
  </si>
  <si>
    <t>Jacqueline</t>
  </si>
  <si>
    <t>Femme de Jonathan Glaude</t>
  </si>
  <si>
    <t>Témoins &amp; Honneurs</t>
  </si>
  <si>
    <t>Témoins &amp; Honneurs - Tableau 1</t>
  </si>
  <si>
    <t>Témoins</t>
  </si>
  <si>
    <t xml:space="preserve">Amélie </t>
  </si>
  <si>
    <t>Tableau 1-1</t>
  </si>
  <si>
    <t>Témoins &amp; Honneurs - Tableau 1-</t>
  </si>
  <si>
    <t>Honneurs</t>
  </si>
  <si>
    <t>Rôle</t>
  </si>
  <si>
    <t>Loanne</t>
  </si>
  <si>
    <t>EVJF</t>
  </si>
  <si>
    <t>EVG</t>
  </si>
  <si>
    <t>Costume</t>
  </si>
  <si>
    <t>Tonton Théo</t>
  </si>
  <si>
    <t>EVJF &amp; EVG</t>
  </si>
  <si>
    <t>EVJF &amp; EVG - Léa</t>
  </si>
  <si>
    <t>Liste</t>
  </si>
  <si>
    <t xml:space="preserve">Amelie </t>
  </si>
  <si>
    <t>Severine</t>
  </si>
  <si>
    <t>Gabrielle</t>
  </si>
  <si>
    <t>Naza</t>
  </si>
  <si>
    <t xml:space="preserve">Clémence </t>
  </si>
  <si>
    <t>Melissande</t>
  </si>
  <si>
    <t>EVJF &amp; EVG - PA</t>
  </si>
  <si>
    <t>Prise de contact ?</t>
  </si>
  <si>
    <t>Retour ?</t>
  </si>
  <si>
    <t>Ok ?</t>
  </si>
  <si>
    <t>Pref Léa</t>
  </si>
  <si>
    <t>Lien</t>
  </si>
  <si>
    <t>Adresse</t>
  </si>
  <si>
    <t>Distance Paris</t>
  </si>
  <si>
    <t>Prix location</t>
  </si>
  <si>
    <t>Prix logements</t>
  </si>
  <si>
    <t>Nb jours de location</t>
  </si>
  <si>
    <t>Infos</t>
  </si>
  <si>
    <t>Traiteur imposé ?</t>
  </si>
  <si>
    <t>Eglise dans le domaine</t>
  </si>
  <si>
    <t>Nombre d’invités (debout)</t>
  </si>
  <si>
    <t>Nombre d’invités (assis)</t>
  </si>
  <si>
    <t>Nombre de chambre</t>
  </si>
  <si>
    <t>Nombre de couchages</t>
  </si>
  <si>
    <t>Piscine</t>
  </si>
  <si>
    <t>Notes</t>
  </si>
  <si>
    <t>A visiter</t>
  </si>
  <si>
    <t>Domaine de Guerquesalle</t>
  </si>
  <si>
    <r>
      <rPr>
        <u val="single"/>
        <sz val="10"/>
        <color indexed="20"/>
        <rFont val="Avenir Book"/>
      </rPr>
      <t>https://www.mariages.net/domaine-mariage/domaine-de-guerquesalle--e143600</t>
    </r>
  </si>
  <si>
    <t>Ferme de Guerquesalle 27140 Amécourt (Eure)</t>
  </si>
  <si>
    <t>1h15</t>
  </si>
  <si>
    <t>du vendredi 17h au dimanche 17h</t>
  </si>
  <si>
    <t>Non</t>
  </si>
  <si>
    <r>
      <rPr>
        <u val="single"/>
        <sz val="10"/>
        <color indexed="20"/>
        <rFont val="Avenir Book"/>
      </rPr>
      <t>https://www.mariages.net/domaine-mariage/domaine-de-meauce--e168716</t>
    </r>
  </si>
  <si>
    <t>La Grand' Maison 28240 Meaucé (Eure-et-Loir)</t>
  </si>
  <si>
    <t>1h50</t>
  </si>
  <si>
    <t>vendredi midi au dimanche 18h</t>
  </si>
  <si>
    <t>Oui</t>
  </si>
  <si>
    <t>Domaine des Libellules</t>
  </si>
  <si>
    <r>
      <rPr>
        <u val="single"/>
        <sz val="10"/>
        <color indexed="20"/>
        <rFont val="Avenir Book"/>
      </rPr>
      <t>https://www.mariages.net/domaine-mariage/domaine-des-libellules--e386935</t>
    </r>
  </si>
  <si>
    <t>Domaine des Libellules - La Chaise 28800 Bonneval (Eure-et-Loir)</t>
  </si>
  <si>
    <t>2h</t>
  </si>
  <si>
    <t>Vendredi 11h00 au dimanche 17h00</t>
  </si>
  <si>
    <t>Le Saint Leonard</t>
  </si>
  <si>
    <r>
      <rPr>
        <u val="single"/>
        <sz val="10"/>
        <color indexed="20"/>
        <rFont val="Avenir Book"/>
      </rPr>
      <t>https://www.mariages.net/domaine-mariage/le-saint-leonard--e358295</t>
    </r>
  </si>
  <si>
    <t>4, Impasse du Prieure 77151 Montceaux-lès-Provins (Seine-et-Marne)</t>
  </si>
  <si>
    <t>vendredi après midi au dimanche 17h</t>
  </si>
  <si>
    <t>Vaumonteuil</t>
  </si>
  <si>
    <r>
      <rPr>
        <u val="single"/>
        <sz val="10"/>
        <color indexed="20"/>
        <rFont val="Avenir Book"/>
      </rPr>
      <t>https://www.mariages.net/domaine-mariage/vaumonteuil--e247147</t>
    </r>
  </si>
  <si>
    <t>14, Rue du Pont Kennedy 28240 Belhomert-Guéhouville (Eure-et-Loir)</t>
  </si>
  <si>
    <t>1h45</t>
  </si>
  <si>
    <t>du vendredi 14h au dimanche 17h</t>
  </si>
  <si>
    <t>Domaine des Bayettes</t>
  </si>
  <si>
    <r>
      <rPr>
        <u val="single"/>
        <sz val="10"/>
        <color indexed="20"/>
        <rFont val="Avenir Book"/>
      </rPr>
      <t>https://www.mariages.net/domaine-mariage/domaine-des-bayettes--e303720</t>
    </r>
  </si>
  <si>
    <t>10, Route Nationale 78980 Mondreville (Yvelines)</t>
  </si>
  <si>
    <t>1h</t>
  </si>
  <si>
    <t>du vendredi 15h00 au dimanche 17h00</t>
  </si>
  <si>
    <t>La Grange des Triplés</t>
  </si>
  <si>
    <r>
      <rPr>
        <u val="single"/>
        <sz val="10"/>
        <color indexed="20"/>
        <rFont val="Avenir Book"/>
      </rPr>
      <t>https://www.mariages.net/domaine-mariage/la-grange-des-triples--e148536</t>
    </r>
  </si>
  <si>
    <t>67, Route des Andelys 27150 Boisemont (Eure)</t>
  </si>
  <si>
    <t>du vendredi 14h à dimanche fin d'après-midi</t>
  </si>
  <si>
    <t>2 gîtes</t>
  </si>
  <si>
    <t>Château Amecourt</t>
  </si>
  <si>
    <r>
      <rPr>
        <u val="single"/>
        <sz val="10"/>
        <color indexed="20"/>
        <rFont val="Avenir Book"/>
      </rPr>
      <t>https://www.mariages.net/chateau-mariage/chateau-amecourt--e136220</t>
    </r>
  </si>
  <si>
    <t>2, Rue du Buisson de Bleu 27140 Amécourt (Eure)</t>
  </si>
  <si>
    <t>1h20</t>
  </si>
  <si>
    <t>du vendredi 18h au dimanche 17h</t>
  </si>
  <si>
    <t>Le Château de Motteux</t>
  </si>
  <si>
    <r>
      <rPr>
        <u val="single"/>
        <sz val="10"/>
        <color indexed="20"/>
        <rFont val="Avenir Book"/>
      </rPr>
      <t>https://www.mariages.net/chateau-mariage/le-chateau-de-motteux--e195221</t>
    </r>
  </si>
  <si>
    <t>Château de Motteux 77130 Marolles-sur-Seine (Seine-et-Marne)</t>
  </si>
  <si>
    <t>Vendredi 17h00 au dimanche 15h00</t>
  </si>
  <si>
    <t>Manoir des Foulons</t>
  </si>
  <si>
    <r>
      <rPr>
        <u val="single"/>
        <sz val="10"/>
        <color indexed="20"/>
        <rFont val="Avenir Book"/>
      </rPr>
      <t>https://www.mariages.net/domaine-mariage/manoir-des-foulons--e8243</t>
    </r>
  </si>
  <si>
    <t>1 Chemin des Foulons 78790 Rosay (Yvelines)</t>
  </si>
  <si>
    <t>55min</t>
  </si>
  <si>
    <t>Le Domaine de Grisien</t>
  </si>
  <si>
    <r>
      <rPr>
        <u val="single"/>
        <sz val="10"/>
        <color indexed="20"/>
        <rFont val="Avenir Book"/>
      </rPr>
      <t>https://www.mariages.net/domaine-mariage/le-domaine-de-grisien--e381421</t>
    </r>
  </si>
  <si>
    <t>Ferme de Grisien Lieu dit Grisien 77540 Voinsles (Seine-et-Marne)</t>
  </si>
  <si>
    <t>1h40</t>
  </si>
  <si>
    <t>DU VENDREDI 10H JUSQU’AU DIMANCHE 17H</t>
  </si>
  <si>
    <t>Les Jardins de Joséphine</t>
  </si>
  <si>
    <r>
      <rPr>
        <u val="single"/>
        <sz val="10"/>
        <color indexed="20"/>
        <rFont val="Avenir Book"/>
      </rPr>
      <t>https://www.mariages.net/salle-mariage/les-jardins-de-josephine--e152850</t>
    </r>
  </si>
  <si>
    <t>3, Rue des Quinconces 27000 Évreux (Eure)</t>
  </si>
  <si>
    <t>Domaine de Coulonge</t>
  </si>
  <si>
    <r>
      <rPr>
        <u val="single"/>
        <sz val="10"/>
        <color indexed="20"/>
        <rFont val="Avenir Book"/>
      </rPr>
      <t>https://www.mariages.net/domaine-mariage/domaine-de-coulonge--e195353</t>
    </r>
  </si>
  <si>
    <t>2, Route de Damville 27240 Sylvains-les-Moulins (Eure)</t>
  </si>
  <si>
    <t>1h30</t>
  </si>
  <si>
    <t>du vendredi 9h au dimanche 17h</t>
  </si>
  <si>
    <t>Le Nomade Lodge</t>
  </si>
  <si>
    <r>
      <rPr>
        <u val="single"/>
        <sz val="10"/>
        <color indexed="20"/>
        <rFont val="Avenir Book"/>
      </rPr>
      <t>https://www.mariages.net/salle-mariage/le-nomade-lodge--e41965</t>
    </r>
  </si>
  <si>
    <t>RD 227 77720 La Chapelle-Gauthier (Seine-et-Marne)</t>
  </si>
  <si>
    <t>DU VENDREDI 10H JUSQU’AU DIMANCHE 18H - pas privatisé mais grand domaine</t>
  </si>
  <si>
    <t>La Ferme d'Armenon</t>
  </si>
  <si>
    <r>
      <rPr>
        <u val="single"/>
        <sz val="10"/>
        <color indexed="20"/>
        <rFont val="Avenir Book"/>
      </rPr>
      <t>https://www.mariages.net/domaine-mariage/la-ferme-darmenon--e151906</t>
    </r>
  </si>
  <si>
    <t>Ferme d'Armenon 91470 Les Molières (Essonne)</t>
  </si>
  <si>
    <t>(vendredi matin à dimanche 18h)</t>
  </si>
  <si>
    <t>La Ferme du Grand Chemin</t>
  </si>
  <si>
    <r>
      <rPr>
        <u val="single"/>
        <sz val="10"/>
        <color indexed="20"/>
        <rFont val="Avenir Book"/>
      </rPr>
      <t>https://www.mariages.net/domaine-mariage/la-ferme-du-grand-chemin--e102933</t>
    </r>
  </si>
  <si>
    <t>20, Route de Vétheuil 95510 Vienne-en-Arthies (Val-d'Oise)</t>
  </si>
  <si>
    <t>Samedi au dimanche 16h + traiteur imposé + vendredi que pour installer la déco</t>
  </si>
  <si>
    <t>Domaine des Prévanches</t>
  </si>
  <si>
    <r>
      <rPr>
        <u val="single"/>
        <sz val="10"/>
        <color indexed="20"/>
        <rFont val="Avenir Book"/>
      </rPr>
      <t>https://www.mariages.net/domaine-mariage/domaine-des-prevanches--e119212</t>
    </r>
  </si>
  <si>
    <t>centre ville 27120 Boisset-les-Prévanches (Eure)</t>
  </si>
  <si>
    <t>du vendredi au dimanche</t>
  </si>
  <si>
    <t>Domaine de Bontemps</t>
  </si>
  <si>
    <r>
      <rPr>
        <u val="single"/>
        <sz val="10"/>
        <color indexed="20"/>
        <rFont val="Avenir Book"/>
      </rPr>
      <t>https://www.mariages.net/domaine-mariage/domaine-de-bontemps--e333446</t>
    </r>
  </si>
  <si>
    <t>Ferme des Aulnoys Bontemps 02310 Domptin (Aisne)</t>
  </si>
  <si>
    <t>Du vendredi 9h à 18h pour l’installation
et du samedi 9h au dimanche 18h</t>
  </si>
  <si>
    <t>Les Blés Verts</t>
  </si>
  <si>
    <r>
      <rPr>
        <u val="single"/>
        <sz val="10"/>
        <color indexed="20"/>
        <rFont val="Avenir Book"/>
      </rPr>
      <t>https://www.mariages.net/salle-mariage/les-bles-verts--e149476</t>
    </r>
  </si>
  <si>
    <t>6, Rue de la Grande Ferme 27190 Conches-en-Ouche (Eure)</t>
  </si>
  <si>
    <t>Domaine de la Croix Sauvalle</t>
  </si>
  <si>
    <r>
      <rPr>
        <u val="single"/>
        <sz val="10"/>
        <color indexed="20"/>
        <rFont val="Avenir Book"/>
      </rPr>
      <t>https://www.mariages.net/domaine-mariage/domaine-de-la-croix-sauvalle--e180437</t>
    </r>
  </si>
  <si>
    <t>6, Rue de la Croix Sauvalle 27510 Forêt-la-Folie (Eure)</t>
  </si>
  <si>
    <r>
      <rPr>
        <sz val="10"/>
        <color indexed="20"/>
        <rFont val="Helvetica"/>
      </rPr>
      <t xml:space="preserve">Le vendredi 11h00
</t>
    </r>
    <r>
      <rPr>
        <sz val="10"/>
        <color indexed="20"/>
        <rFont val="Helvetica"/>
      </rPr>
      <t xml:space="preserve">(pour apporter vos décorations
</t>
    </r>
    <r>
      <rPr>
        <sz val="10"/>
        <color indexed="20"/>
        <rFont val="Helvetica"/>
      </rPr>
      <t xml:space="preserve">que nous installerons)
</t>
    </r>
    <r>
      <rPr>
        <sz val="10"/>
        <color indexed="20"/>
        <rFont val="Helvetica"/>
      </rPr>
      <t xml:space="preserve">Et du Samedi 9h00 au Dimanche
</t>
    </r>
    <r>
      <rPr>
        <sz val="10"/>
        <color indexed="20"/>
        <rFont val="Helvetica"/>
      </rPr>
      <t>16h00</t>
    </r>
  </si>
  <si>
    <t xml:space="preserve">Domaine de la Volière </t>
  </si>
  <si>
    <r>
      <rPr>
        <u val="single"/>
        <sz val="10"/>
        <color indexed="20"/>
        <rFont val="Avenir Book"/>
      </rPr>
      <t>https://bridebook.com/fr/wedding-venues/domaine-de-la-voli-re-sainte-maure-de-touraine-indre-et-loire-frBXdAvKg6</t>
    </r>
  </si>
  <si>
    <t>La Volière, Sainte-Maure-de-Touraine, Indre-et-Loire, 37800, Centre-Val de Loire, France</t>
  </si>
  <si>
    <t>3h15</t>
  </si>
  <si>
    <t xml:space="preserve">du vendredi 10 h au lundi 10 h </t>
  </si>
  <si>
    <t>Pont-Chevron</t>
  </si>
  <si>
    <r>
      <rPr>
        <u val="single"/>
        <sz val="10"/>
        <color indexed="20"/>
        <rFont val="Avenir Book"/>
      </rPr>
      <t>https://bridebook.com/fr/wedding-venues/pont-chevron-ouzouer-sur-tr-z-e-loiret-frm8zlz2gR</t>
    </r>
  </si>
  <si>
    <t>Château de Pont-Chevron , Ouzouer-sur-Trézée, Loiret, 45250, Centre-Val de Loire, France</t>
  </si>
  <si>
    <t>2h30</t>
  </si>
  <si>
    <t>du vendredi 10h au dimanche 14h</t>
  </si>
  <si>
    <t>Château de Laborde Saint-Martin</t>
  </si>
  <si>
    <r>
      <rPr>
        <u val="single"/>
        <sz val="10"/>
        <color indexed="20"/>
        <rFont val="Avenir Book"/>
      </rPr>
      <t>https://bridebook.com/fr/wedding-venues/ch-teau-de-laborde-saint-martin-cand-sur-beuvron-loir-et-cher-frA8xEAaX0</t>
    </r>
  </si>
  <si>
    <t>53 rue du Château, Candé-sur-Beuvron, Loir-et-Cher, 41120, Centre-Val de Loire, France</t>
  </si>
  <si>
    <t>2h45</t>
  </si>
  <si>
    <t>vendredi à partir de 15 heures au dimanche 17h</t>
  </si>
  <si>
    <t>Manoir de Vacheresses</t>
  </si>
  <si>
    <r>
      <rPr>
        <u val="single"/>
        <sz val="10"/>
        <color indexed="20"/>
        <rFont val="Avenir Book"/>
      </rPr>
      <t>https://www.mariages.net/domaine-mariage/manoir-de-vacheresses--e148581</t>
    </r>
  </si>
  <si>
    <t>Rue du Manoir 28210 Vacheresses-les-Basses (Eure-et-Loir)</t>
  </si>
  <si>
    <t>du vendredi 14h (préparatifs) au dimanche 17h (brunch) :</t>
  </si>
  <si>
    <t>Chateau Hazeville</t>
  </si>
  <si>
    <r>
      <rPr>
        <u val="single"/>
        <sz val="10"/>
        <color indexed="20"/>
        <rFont val="Avenir Book"/>
      </rPr>
      <t>https://bridebook.com/fr/wedding-venues/chateau-hazeville-wy-dit-joli-village-val-d-oise-fr0X22aBQX</t>
    </r>
  </si>
  <si>
    <t>Château d'Hazeville, Wy-dit-Joli-Village, Val-d'Oise, 95420, Île-de-France, France</t>
  </si>
  <si>
    <t>du vendredi 18h au dimanche 14h</t>
  </si>
  <si>
    <t>Château de Villette</t>
  </si>
  <si>
    <r>
      <rPr>
        <u val="single"/>
        <sz val="10"/>
        <color indexed="20"/>
        <rFont val="Avenir Book"/>
      </rPr>
      <t>https://bridebook.com/fr/wedding-venues/ch-teau-de-villette-sennely-loiret-fr4XD1rLgo</t>
    </r>
  </si>
  <si>
    <t>Route de Sennely, Menestreau en Villette, Loiret, 45240, Centre-Val de Loire, France</t>
  </si>
  <si>
    <t>vendredi 13h au dimanche 19h</t>
  </si>
  <si>
    <t>Le Moulin de Pommeuse</t>
  </si>
  <si>
    <r>
      <rPr>
        <u val="single"/>
        <sz val="10"/>
        <color indexed="20"/>
        <rFont val="Avenir Book"/>
      </rPr>
      <t>https://www.mariages.net/domaine-mariage/le-moulin-de-pommeuse--e155990</t>
    </r>
  </si>
  <si>
    <t>32, avenue du Général Huerne 77515 Pommeuse (Seine-et-Marne)</t>
  </si>
  <si>
    <t>1h35</t>
  </si>
  <si>
    <t>vendredi 15h au dimanche 18h</t>
  </si>
  <si>
    <t>Domaine des Coccinelles</t>
  </si>
  <si>
    <r>
      <rPr>
        <u val="single"/>
        <sz val="10"/>
        <color indexed="20"/>
        <rFont val="Avenir Book"/>
      </rPr>
      <t>https://www.mariages.net/domaine-mariage/domaine-des-coccinelles--e235316</t>
    </r>
  </si>
  <si>
    <t>La Tuilerie 91470 Angervilliers (Essonne)</t>
  </si>
  <si>
    <t>1h10</t>
  </si>
  <si>
    <t>Les Tourelles de Fonville</t>
  </si>
  <si>
    <r>
      <rPr>
        <u val="single"/>
        <sz val="10"/>
        <color indexed="20"/>
        <rFont val="Avenir Book"/>
      </rPr>
      <t>https://www.mariages.net/domaine-mariage/les-tourelles-de-fonville--e185949</t>
    </r>
  </si>
  <si>
    <t>5, Rue de la Chapelle 28210 Le Boullay-Mivoye (Eure-et-Loir)</t>
  </si>
  <si>
    <t>du vendredi 12h au dimanche 17h</t>
  </si>
  <si>
    <t>Domaine de la Thibaudière</t>
  </si>
  <si>
    <r>
      <rPr>
        <u val="single"/>
        <sz val="10"/>
        <color indexed="20"/>
        <rFont val="Avenir Book"/>
      </rPr>
      <t>https://bridebook.com/fr/shortlist/venues/domaine-de-la-thibaudi-re-faverolles-eure-et-loir-frog49pWYv</t>
    </r>
  </si>
  <si>
    <t>Route Du Bout Au Duhay, Faverolles, Eure-et-Loir, 28210, Centre-Val de Loire, France</t>
  </si>
  <si>
    <t>du vendredi 17h00 au dimanche 15h00</t>
  </si>
  <si>
    <t>Le Clos de l'Orangerie</t>
  </si>
  <si>
    <r>
      <rPr>
        <u val="single"/>
        <sz val="10"/>
        <color indexed="20"/>
        <rFont val="Avenir Book"/>
      </rPr>
      <t>https://www.mariages.net/domaine-mariage/le-clos-de-lorangerie--e145905</t>
    </r>
  </si>
  <si>
    <t>D110 78710 Rosny-sur-Seine (Yvelines)</t>
  </si>
  <si>
    <t>50min</t>
  </si>
  <si>
    <t>Vendredi 11h00 au dimanche 17h00 (l’hébergement pour 130 personnes, ainsi que la partie technique et le DJ.)</t>
  </si>
  <si>
    <t>L'Orangerie de l’Orée du Bois</t>
  </si>
  <si>
    <r>
      <rPr>
        <u val="single"/>
        <sz val="10"/>
        <color indexed="20"/>
        <rFont val="Avenir Book"/>
      </rPr>
      <t>https://www.mariages.net/domaine-mariage/lorangerie-de-l-oree-du-bois--e351105</t>
    </r>
  </si>
  <si>
    <t>Chemin de la Côte Blanche 78710 Rosny-sur-Seine (Yvelines)</t>
  </si>
  <si>
    <t>Vendredi 11h00 au dimanche 17h00 - plus de disponibilités en 2027</t>
  </si>
  <si>
    <t>Domaine de Saint Vigor</t>
  </si>
  <si>
    <r>
      <rPr>
        <u val="single"/>
        <sz val="10"/>
        <color indexed="20"/>
        <rFont val="Avenir Book"/>
      </rPr>
      <t>https://www.mariages.net/domaine-mariage/domaine-de-saint-vigor--e194877</t>
    </r>
  </si>
  <si>
    <t>2, Route des Buissonnets 27930 Saint-Vigor (Eure)</t>
  </si>
  <si>
    <t xml:space="preserve">Du vendredi 17h au dimanche 17h - traiteur imposé, sinon 600€ droit d’accès </t>
  </si>
  <si>
    <t>Château d'Hermival</t>
  </si>
  <si>
    <r>
      <rPr>
        <u val="single"/>
        <sz val="10"/>
        <color indexed="20"/>
        <rFont val="Avenir Book"/>
      </rPr>
      <t>https://www.mariages.net/chateau-mariage/chateau-dhermival--e194737</t>
    </r>
  </si>
  <si>
    <t>2686, Route de Cormeilles 14100 Hermival-les-Vaux (Calvados)</t>
  </si>
  <si>
    <t>2h10</t>
  </si>
  <si>
    <t>Domaine de Champignolles</t>
  </si>
  <si>
    <r>
      <rPr>
        <u val="single"/>
        <sz val="10"/>
        <color indexed="20"/>
        <rFont val="Avenir Book"/>
      </rPr>
      <t>https://www.mariages.net/domaine-mariage/domaine-de-champignolles--e329152</t>
    </r>
  </si>
  <si>
    <t>Domaine de champignolles 60590 Sérifontaine (Oise)</t>
  </si>
  <si>
    <t>du vendredi dès 9h au lundi 10h</t>
  </si>
  <si>
    <t>Château de Maudétour</t>
  </si>
  <si>
    <r>
      <rPr>
        <u val="single"/>
        <sz val="10"/>
        <color indexed="20"/>
        <rFont val="Avenir Book"/>
      </rPr>
      <t>https://www.mariages.net/chateau-mariage/chateau-de-maudetour--e137675</t>
    </r>
  </si>
  <si>
    <t>1, Allée des Tilleuls 95420 Maudétour-en-Vexin (Val-d'Oise)</t>
  </si>
  <si>
    <t>Château de Laverdines</t>
  </si>
  <si>
    <r>
      <rPr>
        <u val="single"/>
        <sz val="10"/>
        <color indexed="20"/>
        <rFont val="Avenir Book"/>
      </rPr>
      <t>https://bridebook.com/fr/wedding-venues/ch-teau-de-laverdines-baugy-cher-frqYNwG68V</t>
    </r>
  </si>
  <si>
    <t>2A Route de la Chapelle, Baugy, Cher, 18800, Centre-Val de Loire, France</t>
  </si>
  <si>
    <t>3h30</t>
  </si>
  <si>
    <t>Vendredi 11h au lundi 17h - attention il faut louer une tente 4,5K€</t>
  </si>
  <si>
    <t>Château Le Chereau et Domaine Les Poultières</t>
  </si>
  <si>
    <r>
      <rPr>
        <u val="single"/>
        <sz val="10"/>
        <color indexed="20"/>
        <rFont val="Avenir Book"/>
      </rPr>
      <t>https://bridebook.com/fr/wedding-venues/ch-teau-le-chereau-et-domaine-les-poulti-res-montrieux-en-sologne-loir-et-cher-frEqYZxBX2</t>
    </r>
  </si>
  <si>
    <t>Montrieux-en-Sologne, Loir-et-Cher, Centre-Val de Loire, France</t>
  </si>
  <si>
    <t>2h40</t>
  </si>
  <si>
    <t>Vendredi (arrivée a midi et plus tôt si possible) jusqu’au Dimanche 16H00 - Que 80 assis en intérieur, pour plus, il faut louer une tente à 5K€</t>
  </si>
  <si>
    <t>Le Prieuré de Vernelle</t>
  </si>
  <si>
    <r>
      <rPr>
        <u val="single"/>
        <sz val="10"/>
        <color indexed="20"/>
        <rFont val="Avenir Book"/>
      </rPr>
      <t>https://www.mariages.net/domaine-mariage/le-prieure-de-vernelle--e8151</t>
    </r>
  </si>
  <si>
    <t>Route d'Evry, Lieu dit : Le Prieuré de Vernelle 77166 Grisy-Suisnes (Seine-et-Marne)</t>
  </si>
  <si>
    <t>Abbaye du Trésor</t>
  </si>
  <si>
    <r>
      <rPr>
        <u val="single"/>
        <sz val="10"/>
        <color indexed="20"/>
        <rFont val="Avenir Book"/>
      </rPr>
      <t>https://www.mariages.net/domaine-mariage/abbaye-du-tresor--e311894</t>
    </r>
  </si>
  <si>
    <t>40, Route de l'Abbaye 27630 Bus-Saint-Rémy (Eure)</t>
  </si>
  <si>
    <t>Le Val Gaudry</t>
  </si>
  <si>
    <r>
      <rPr>
        <u val="single"/>
        <sz val="10"/>
        <color indexed="20"/>
        <rFont val="Avenir Book"/>
      </rPr>
      <t>https://www.mariages.net/domaine-mariage/le-val-gaudry--e277984</t>
    </r>
  </si>
  <si>
    <t>Le Tertre 61360 Montgaudry (Orne)</t>
  </si>
  <si>
    <t>du vendredi 12h au lundi 16h</t>
  </si>
  <si>
    <t>Le Village de Sully</t>
  </si>
  <si>
    <r>
      <rPr>
        <u val="single"/>
        <sz val="10"/>
        <color indexed="20"/>
        <rFont val="Avenir Book"/>
      </rPr>
      <t>https://www.mariages.net/domaine-mariage/le-village-de-sully--e159056</t>
    </r>
  </si>
  <si>
    <t>D110 78710 Jouy-Mauvoisin (Yvelines)</t>
  </si>
  <si>
    <t>Le Château de l'Orée du Bois</t>
  </si>
  <si>
    <r>
      <rPr>
        <u val="single"/>
        <sz val="10"/>
        <color indexed="20"/>
        <rFont val="Avenir Book"/>
      </rPr>
      <t>https://www.mariages.net/chateau-mariage/le-chateau-de-loree-du-bois--e188956</t>
    </r>
  </si>
  <si>
    <t>La Catrache</t>
  </si>
  <si>
    <r>
      <rPr>
        <u val="single"/>
        <sz val="10"/>
        <color indexed="20"/>
        <rFont val="Avenir Book"/>
      </rPr>
      <t>https://www.mariages.net/domaine-mariage/la-catrache--e10724</t>
    </r>
  </si>
  <si>
    <t>17 bis, Rue de la Forêt - Guippereux 78125 Hermeray (Yvelines)</t>
  </si>
  <si>
    <t>samedi 28 Août disponible de 17h00 à 03h00 au dimanche 29 Août, de 11h00 à 16h00 + traiteur imposé</t>
  </si>
  <si>
    <t>Domaine de Vaujoly</t>
  </si>
  <si>
    <r>
      <rPr>
        <u val="single"/>
        <sz val="10"/>
        <color indexed="20"/>
        <rFont val="Avenir Book"/>
      </rPr>
      <t>https://bridebook.com/fr/wedding-venues/le-domaine-de-vaujoly-courville-sur-eure-eure-et-loir-frEgQ3JQ8J</t>
    </r>
  </si>
  <si>
    <t>Lieu Dit Le Vaujoly, 28190 Courville-sur-Eure</t>
  </si>
  <si>
    <t>Domaine des Colombes</t>
  </si>
  <si>
    <r>
      <rPr>
        <u val="single"/>
        <sz val="10"/>
        <color indexed="20"/>
        <rFont val="Arial"/>
      </rPr>
      <t>https://www.mariages.net/domaine-mariage/domaine-des-colombes--e318080</t>
    </r>
  </si>
  <si>
    <t>La Chaise 28000 Bonneval (Eure-et-Loir)</t>
  </si>
  <si>
    <t>Moulin de Mistou</t>
  </si>
  <si>
    <r>
      <rPr>
        <u val="single"/>
        <sz val="10"/>
        <color indexed="20"/>
        <rFont val="Avenir Book"/>
      </rPr>
      <t>https://www.mariages.net/domaine-mariage/moulin-de-mistou--e199379</t>
    </r>
  </si>
  <si>
    <t>6, Route Départementale 402 77120 Mauperthuis (Seine-et-Marne)</t>
  </si>
  <si>
    <t>vendredi 14h à dimanche 17h - traiteur du lieu obligatoire</t>
  </si>
  <si>
    <t>Hôtel Dolce by Wyndham Versailles – Domaine du Montcel</t>
  </si>
  <si>
    <r>
      <rPr>
        <u val="single"/>
        <sz val="10"/>
        <color indexed="20"/>
        <rFont val="Avenir Book"/>
      </rPr>
      <t>https://www.mariages.net/domaine-mariage/hotel-dolce-by-wyndham-versailles-domaine-du-montcel--e302872</t>
    </r>
  </si>
  <si>
    <t>2, Rue du Montcel 78350 Jouy-en-Josas (Yvelines)</t>
  </si>
  <si>
    <t>35min</t>
  </si>
  <si>
    <t>Château Barthélemy</t>
  </si>
  <si>
    <r>
      <rPr>
        <u val="single"/>
        <sz val="10"/>
        <color indexed="20"/>
        <rFont val="Avenir Book"/>
      </rPr>
      <t>https://www.mariages.net/chateau-mariage/chateau-barthelemy--e138571</t>
    </r>
  </si>
  <si>
    <t>3, Route Nationale 191 78660 Paray-Douaville (Yvelines)</t>
  </si>
  <si>
    <t>Château des Hauts de Provins</t>
  </si>
  <si>
    <r>
      <rPr>
        <u val="single"/>
        <sz val="10"/>
        <color indexed="20"/>
        <rFont val="Avenir Book"/>
      </rPr>
      <t>https://www.mariages.net/chateau-mariage/chateau-des-hauts-de-provins--e245889</t>
    </r>
  </si>
  <si>
    <t>Route de Ferreux 77560 Champcenest (Seine-et-Marne)</t>
  </si>
  <si>
    <t>samedi 16h au dimanche 16h</t>
  </si>
  <si>
    <t>Le Petit Chateau de Barbizon</t>
  </si>
  <si>
    <r>
      <rPr>
        <u val="single"/>
        <sz val="10"/>
        <color indexed="20"/>
        <rFont val="Avenir Book"/>
      </rPr>
      <t>https://www.mariages.net/chateau-mariage/le-petit-chateau-de-barbizon--e326194</t>
    </r>
  </si>
  <si>
    <t>Barbizon 77630 Barbizon (Seine-et-Marne)</t>
  </si>
  <si>
    <t>du vendredi 16h au dimanche 17h - logements très chers</t>
  </si>
  <si>
    <t>Château de Bonaventure</t>
  </si>
  <si>
    <r>
      <rPr>
        <u val="single"/>
        <sz val="10"/>
        <color indexed="20"/>
        <rFont val="Avenir Book"/>
      </rPr>
      <t>https://www.mariages.net/chateau-mariage/chateau-de-bonaventure--e200469</t>
    </r>
  </si>
  <si>
    <t>Château de Bonaventure 77120 Aulnoy (Seine-et-Marne)</t>
  </si>
  <si>
    <t>Vendredi 15h00 au dimanche 16h00</t>
  </si>
  <si>
    <t>Le Château de Beauvois</t>
  </si>
  <si>
    <r>
      <rPr>
        <u val="single"/>
        <sz val="10"/>
        <color indexed="20"/>
        <rFont val="Avenir Book"/>
      </rPr>
      <t>https://bridebook.com/fr/wedding-venues/le-ch-teau-de-beauvois-saint-etienne-de-chigny-indre-et-loire-frqYNej6gV</t>
    </r>
  </si>
  <si>
    <t>Route de Beauvois, Saint-Etienne-de-Chigny, Indre-et-Loire, 37230, Centre-Val de Loire, France</t>
  </si>
  <si>
    <t>3h20</t>
  </si>
  <si>
    <t>du jour de votre arrivée à 16h00 jusqu'à 11h00 le lendemain</t>
  </si>
  <si>
    <t>La Dîme de Giverny</t>
  </si>
  <si>
    <r>
      <rPr>
        <u val="single"/>
        <sz val="10"/>
        <color indexed="20"/>
        <rFont val="Avenir Book"/>
      </rPr>
      <t>https://www.mariages.net/domaine-mariage/la-dime-de-giverny--e131554</t>
    </r>
  </si>
  <si>
    <t>2, Rue de la Dime 27620 Giverny (Eure)</t>
  </si>
  <si>
    <t>du vendredi au dimanche 15h</t>
  </si>
  <si>
    <t>Le Moulin De Bully</t>
  </si>
  <si>
    <r>
      <rPr>
        <u val="single"/>
        <sz val="10"/>
        <color indexed="20"/>
        <rFont val="Avenir Book"/>
      </rPr>
      <t>https://www.mariages.net/domaine-mariage/le-moulin-de-bully--e90741</t>
    </r>
  </si>
  <si>
    <t>29, Route du Pont du Coudray 14320 Caen (Calvados)</t>
  </si>
  <si>
    <t>du vendredi 11h au dimanche 18h</t>
  </si>
  <si>
    <t>Ferme d'Orsonville</t>
  </si>
  <si>
    <r>
      <rPr>
        <u val="single"/>
        <sz val="10"/>
        <color indexed="20"/>
        <rFont val="Avenir Book"/>
      </rPr>
      <t>https://www.mariages.net/domaine-mariage/ferme-dorsonville--e73782</t>
    </r>
  </si>
  <si>
    <t>Ferme d'Orsonville 77190 Villiers-en-Bière (Seine-et-Marne)</t>
  </si>
  <si>
    <t>1h25</t>
  </si>
  <si>
    <t xml:space="preserve">du vendredi 14h au dimanche 20h - liste de traiteurs imposés </t>
  </si>
  <si>
    <t>Château de Chéronne</t>
  </si>
  <si>
    <r>
      <rPr>
        <u val="single"/>
        <sz val="10"/>
        <color indexed="20"/>
        <rFont val="Avenir Book"/>
      </rPr>
      <t>https://www.mariages.net/domaine-mariage/chateau-de-cheronne--e7324</t>
    </r>
  </si>
  <si>
    <t>Château de Chéronne 72160 Tuffé (Sarthe)</t>
  </si>
  <si>
    <t>2h15</t>
  </si>
  <si>
    <t>du vendredi 15h au dimanche 17h  - traiteur imposé parmis une liste de 4 (inclus dans le prix : photobooth et feux d’artifices)</t>
  </si>
  <si>
    <t>Domaine Imodis</t>
  </si>
  <si>
    <r>
      <rPr>
        <u val="single"/>
        <sz val="10"/>
        <color indexed="20"/>
        <rFont val="Avenir Book"/>
      </rPr>
      <t>https://www.imodis.fr/mariage/</t>
    </r>
  </si>
  <si>
    <t>3 Rue du Châtelet, 67270 Saessolsheim</t>
  </si>
  <si>
    <t>5h</t>
  </si>
  <si>
    <t xml:space="preserve">du vendredi au dimanche </t>
  </si>
  <si>
    <t>La Grange de Bourgoult</t>
  </si>
  <si>
    <r>
      <rPr>
        <u val="single"/>
        <sz val="10"/>
        <color indexed="20"/>
        <rFont val="Avenir Book"/>
      </rPr>
      <t>https://www.mariages.net/domaine-mariage/la-grange-de-bourgoult--e7861</t>
    </r>
  </si>
  <si>
    <t>Harquency 27700 Les Andelys (Eure)</t>
  </si>
  <si>
    <t>Du Samedi au Dimanche soir 17h. Si, 5 mois avant votre mariage, le vendredi n'est pas réservé, vous pourrez avoir accès à la propriété gratuitement. + traiteur doit être sélectionné dans leur liste.</t>
  </si>
  <si>
    <t>Château de Serans</t>
  </si>
  <si>
    <r>
      <rPr>
        <u val="single"/>
        <sz val="10"/>
        <color indexed="20"/>
        <rFont val="Avenir Book"/>
      </rPr>
      <t>https://www.mariages.net/chateau-mariage/chateau-de-serans--e102961</t>
    </r>
  </si>
  <si>
    <t>60, Grande Rue 60240 Serans (Oise)</t>
  </si>
  <si>
    <t>Trop grand pour nous</t>
  </si>
  <si>
    <t>?</t>
  </si>
  <si>
    <t>Les Hirondelles</t>
  </si>
  <si>
    <r>
      <rPr>
        <u val="single"/>
        <sz val="10"/>
        <color indexed="20"/>
        <rFont val="Avenir Book"/>
      </rPr>
      <t>https://www.mariages.net/salle-mariage/les-hirondelles--e166480</t>
    </r>
  </si>
  <si>
    <t>1, Route de Rochefort 78730 Longvilliers (Yvelines)</t>
  </si>
  <si>
    <t>Château de Lésigny</t>
  </si>
  <si>
    <r>
      <rPr>
        <u val="single"/>
        <sz val="10"/>
        <color indexed="20"/>
        <rFont val="Avenir Book"/>
      </rPr>
      <t>https://www.mariages.net/chateau-mariage/chateau-de-lesigny--e141033</t>
    </r>
  </si>
  <si>
    <t>Chemin de la Croix 77150 Lésigny (Seine-et-Marne)</t>
  </si>
  <si>
    <t>Pas inclus donc trop cher</t>
  </si>
  <si>
    <t>La Drille au Bord de l'Eau</t>
  </si>
  <si>
    <r>
      <rPr>
        <u val="single"/>
        <sz val="10"/>
        <color indexed="20"/>
        <rFont val="Avenir Book"/>
      </rPr>
      <t>https://www.mariages.net/domaine-mariage/la-drille-au-bord-de-leau--e375961?cmp=ADW-SEM-PMAX-VENUES&amp;utm_source=google&amp;utm_medium=paid-search&amp;utm_campaign=VENUES-Pmax-B2C-Marketplace&amp;utm_content=performance_cpm_search-ad_na_na&amp;gclid=CjwKCAiAmp3LBhAkEiwAJM2JUNEIVpgIVYzdvy7q_9B4zPxfdHgglQ1ftklNaVrRq-QAww0pOmo2vBoCLwoQAvD_BwE</t>
    </r>
  </si>
  <si>
    <t>1, Rue de la Drille 67130 Wisches (Bas Rhin)</t>
  </si>
  <si>
    <t>5h45</t>
  </si>
  <si>
    <t>Ve. 8h au lundi 11h</t>
  </si>
  <si>
    <t>Château de Beauclair</t>
  </si>
  <si>
    <r>
      <rPr>
        <u val="single"/>
        <sz val="10"/>
        <color indexed="20"/>
        <rFont val="Avenir Book"/>
      </rPr>
      <t>https://www.mariages.net/domaine-mariage/chateau-de-beauclair--e377467</t>
    </r>
  </si>
  <si>
    <t>Château de Beauclair 45300 Morville-en-Beauce (Loiret)</t>
  </si>
  <si>
    <t>du vendredi 12h au dimanche 15h</t>
  </si>
  <si>
    <t>Domaine de Montigny</t>
  </si>
  <si>
    <r>
      <rPr>
        <u val="single"/>
        <sz val="10"/>
        <color indexed="20"/>
        <rFont val="Avenir Book"/>
      </rPr>
      <t>https://www.mariages.net/domaine-mariage/domaine-de-montigny--e180117</t>
    </r>
  </si>
  <si>
    <t>Butte de Montigny 60 800 Russy-Bémont (Oise)</t>
  </si>
  <si>
    <t>Vendredi 17h à Dimanche 17h</t>
  </si>
  <si>
    <t>Le Domaine de Montireau</t>
  </si>
  <si>
    <r>
      <rPr>
        <u val="single"/>
        <sz val="10"/>
        <color indexed="20"/>
        <rFont val="Avenir Book"/>
      </rPr>
      <t>https://www.mariages.net/domaine-mariage/le-domaine-de-montireau--e156376</t>
    </r>
  </si>
  <si>
    <t>100, route de Champrond 28240 Montireau (Eure-et-Loir)</t>
  </si>
  <si>
    <t>du vendredi au dimanche  - traiteur imposé</t>
  </si>
  <si>
    <t>Manoir de Corny</t>
  </si>
  <si>
    <r>
      <rPr>
        <u val="single"/>
        <sz val="10"/>
        <color indexed="20"/>
        <rFont val="Avenir Book"/>
      </rPr>
      <t>https://www.mariages.net/domaine-mariage/manoir-de-corny--e327062</t>
    </r>
  </si>
  <si>
    <t>1, Chemin de la Vieille Côte 27700 Frenelles-en-Vexin (Eure)</t>
  </si>
  <si>
    <t>Du samedi au dimanche 16h - pas possible sur 3j et en plus on a pas passé d’invités</t>
  </si>
  <si>
    <t>Domaine des 3 voyages</t>
  </si>
  <si>
    <r>
      <rPr>
        <u val="single"/>
        <sz val="10"/>
        <color indexed="20"/>
        <rFont val="Avenir Book"/>
      </rPr>
      <t>https://www.mariages.net/domaine-mariage/domaine-des-3-voyages--e157976</t>
    </r>
  </si>
  <si>
    <t>7, Rue de Pacy 27640 Merey (Eure)</t>
  </si>
  <si>
    <t xml:space="preserve">Du vendredi au dimanche 16h - traiteur imposé, prix inclus </t>
  </si>
  <si>
    <t>Bona-Venture - Domaine des Aulnaies</t>
  </si>
  <si>
    <r>
      <rPr>
        <u val="single"/>
        <sz val="10"/>
        <color indexed="20"/>
        <rFont val="Avenir Book"/>
      </rPr>
      <t>https://www.mariages.net/domaine-mariage/bona-venture-domaine-des-aulnaies--e282428</t>
    </r>
  </si>
  <si>
    <t>25, Rue des Moulins 95510 Amenucourt (Val-d'Oise)</t>
  </si>
  <si>
    <t>Château de la Plumasserie</t>
  </si>
  <si>
    <r>
      <rPr>
        <u val="single"/>
        <sz val="10"/>
        <color indexed="20"/>
        <rFont val="Avenir Book"/>
      </rPr>
      <t>https://www.mariages.net/chateau-mariage/chateau-de-la-plumasserie--e271241</t>
    </r>
  </si>
  <si>
    <t>Route de Bellefontaine 77610 Fontenay-Trésigny (Seine-et-Marne)</t>
  </si>
  <si>
    <t>entre 6.000€ et 25.000€</t>
  </si>
  <si>
    <t>Domaine de la Vallée Aux Pages</t>
  </si>
  <si>
    <r>
      <rPr>
        <u val="single"/>
        <sz val="10"/>
        <color indexed="20"/>
        <rFont val="Avenir Book"/>
      </rPr>
      <t>https://www.mariages.net/domaine-mariage/domaine-de-la-vallee-aux-pages--e8171</t>
    </r>
  </si>
  <si>
    <t>2, Rue de la Vallée - Lenainville 78660 Paray-Douaville (Yvelines)</t>
  </si>
  <si>
    <t>Château de la Trye</t>
  </si>
  <si>
    <r>
      <rPr>
        <u val="single"/>
        <sz val="10"/>
        <color indexed="20"/>
        <rFont val="Avenir Book"/>
      </rPr>
      <t>https://bridebook.com/fr/wedding-venues/ch-teau-de-la-trye-hermes-oise-fr0X22ajdX</t>
    </r>
  </si>
  <si>
    <t>L'Abbaye de Froidmont, Hermes, Oise, 60370, Hauts-de-France, France</t>
  </si>
  <si>
    <t>5.600€ et 14.000€</t>
  </si>
  <si>
    <t>Les Hauts de Pardaillan</t>
  </si>
  <si>
    <r>
      <rPr>
        <u val="single"/>
        <sz val="10"/>
        <color indexed="20"/>
        <rFont val="Avenir Book"/>
      </rPr>
      <t>https://www.mariages.net/domaine-mariage/les-hauts-de-pardaillan--e10685</t>
    </r>
  </si>
  <si>
    <t>Lieu dit la Tour Neuve - Hanches 78125 Hermeray (Yvelines)</t>
  </si>
  <si>
    <t>Le Manoir de Villefermoy</t>
  </si>
  <si>
    <r>
      <rPr>
        <u val="single"/>
        <sz val="10"/>
        <color indexed="20"/>
        <rFont val="Avenir Book"/>
      </rPr>
      <t>https://www.mariages.net/domaine-mariage/le-manoir-de-villefermoy--e254055</t>
    </r>
  </si>
  <si>
    <t>Les Écrennes - Route de Fontainebleau 77820 Les Écrennes (Seine-et-Marne)</t>
  </si>
  <si>
    <t xml:space="preserve">Du vendredi 10h au dimanche 17h - traiteur imposé, sinon 600€ droit d’accès </t>
  </si>
  <si>
    <t>Château de Rochecotte</t>
  </si>
  <si>
    <r>
      <rPr>
        <u val="single"/>
        <sz val="10"/>
        <color indexed="20"/>
        <rFont val="Avenir Book"/>
      </rPr>
      <t>https://bridebook.com/fr/wedding-venues/ch-teau-de-rochecotte-saint-patrice-indre-et-loire-fr0og4BD8v</t>
    </r>
  </si>
  <si>
    <t>43, Rue Dorothée de Dino, Saint-Patrice, Indre-et-Loire, 37130, Centre-Val de Loire, France</t>
  </si>
  <si>
    <t>Sur demande</t>
  </si>
  <si>
    <t xml:space="preserve">De samedi au dimanche + Ils n’acceptent pas de prestataire extérieur hormis fleurs et DJ + pas de mariage en période estivale </t>
  </si>
  <si>
    <t>Linslerhof</t>
  </si>
  <si>
    <r>
      <rPr>
        <u val="single"/>
        <sz val="10"/>
        <color indexed="20"/>
        <rFont val="Avenir Book"/>
      </rPr>
      <t>https://bridebook.com/fr/wedding-venues/kathrin-schleich-ueberherrn--de3jgyo381</t>
    </r>
  </si>
  <si>
    <t>Linslerhof 1, 66802 Ueberherrn, Saarland, Deutschland</t>
  </si>
  <si>
    <t>4h30</t>
  </si>
  <si>
    <t>1j et traiteur imposé</t>
  </si>
  <si>
    <t>Prieuré de Saint-Cyr</t>
  </si>
  <si>
    <r>
      <rPr>
        <u val="single"/>
        <sz val="10"/>
        <color indexed="20"/>
        <rFont val="Avenir Book"/>
      </rPr>
      <t>https://www.mariages.net/domaine-mariage/prieure-de-saint-cyr--e7469</t>
    </r>
  </si>
  <si>
    <t>18, Le Ru de Vrou 77750 Saint-Cyr-sur-Morin (Seine-et-Marne)</t>
  </si>
  <si>
    <t>Le Domaine de Marolles</t>
  </si>
  <si>
    <r>
      <rPr>
        <u val="single"/>
        <sz val="10"/>
        <color indexed="20"/>
        <rFont val="Avenir Book"/>
      </rPr>
      <t>https://www.mariages.net/domaine-mariage/le-domaine-de-marolles--e148715</t>
    </r>
  </si>
  <si>
    <t>Lieu dit Marolles 28320 Gas (Eure-et-Loir)</t>
  </si>
  <si>
    <t>entre 2.450€ et 4.550€</t>
  </si>
  <si>
    <t>Château de la Confrérie</t>
  </si>
  <si>
    <r>
      <rPr>
        <u val="single"/>
        <sz val="10"/>
        <color indexed="20"/>
        <rFont val="Avenir Book"/>
      </rPr>
      <t>https://www.mariages.net/chateau-mariage/chateau-hattonchatel--e122266?cmp=ADW-Reception-Chateau&amp;utm_source=google&amp;utm_medium=paid-search&amp;utm_campaign=B2C-VENUES-Search-Marketplace&amp;utm_content=performance_cpm_search-ad_castle_dsa_premium_na_na&amp;gclid=CjwKCAiAmp3LBhAkEiwAJM2JUJwvaagl9NXPvST7VtZ6s4NFPfu_eoEfYXJsz6sHCX9qSm7Ge9mmORoCUdMQAvD_BwE</t>
    </r>
  </si>
  <si>
    <t>3 bis, Rue du Château 55210 Vigneulles-lès-Hattonchâtel (Meuse)</t>
  </si>
  <si>
    <t>3h45</t>
  </si>
  <si>
    <t>Repas - Tableau 1</t>
  </si>
  <si>
    <t>Budget/invité</t>
  </si>
  <si>
    <t>Budget total</t>
  </si>
  <si>
    <t>Commentaires</t>
  </si>
  <si>
    <t>Repas vendredi soir</t>
  </si>
  <si>
    <t>Food truck - Tartes Flambées</t>
  </si>
  <si>
    <t>De 18h00 à 21h</t>
  </si>
  <si>
    <t>Eau</t>
  </si>
  <si>
    <t>Bière</t>
  </si>
  <si>
    <t>Fut 30L</t>
  </si>
  <si>
    <t>Vin</t>
  </si>
  <si>
    <t>Repas samedi midi</t>
  </si>
  <si>
    <t>BBQ</t>
  </si>
  <si>
    <t>Saucisses/Merguez, Baguettes, Coleslaw, Sauces, Désert</t>
  </si>
  <si>
    <t>Repas soirée de mariage</t>
  </si>
  <si>
    <t>Vin d’honneur</t>
  </si>
  <si>
    <t>Fromage</t>
  </si>
  <si>
    <t>Déssert</t>
  </si>
  <si>
    <t>Pain</t>
  </si>
  <si>
    <t>Service traiteur</t>
  </si>
  <si>
    <t>Vaiselle et nappage</t>
  </si>
  <si>
    <t>Boissons repas de mariage</t>
  </si>
  <si>
    <t>Cadeau de 2000€ Hugues</t>
  </si>
  <si>
    <t>Soft (repas)</t>
  </si>
  <si>
    <t>Eau Minérale et Badoit en bouteilles en verre, Coca-Cola et Coca-Cola Zéro, Jus d’orange et jus de pomme, Perrier</t>
  </si>
  <si>
    <t>Soft (accueil)</t>
  </si>
  <si>
    <t>Eau de Source, Sodas, Perrier, Jus de fruits</t>
  </si>
  <si>
    <t>Cocktail - Vin d’honneur</t>
  </si>
  <si>
    <t>Cocktail à base de rhum - Fais par Christophe, quel contenant ?</t>
  </si>
  <si>
    <t>Champagne - Vin d’honneur et Dessert</t>
  </si>
  <si>
    <t xml:space="preserve">Blanc de Blanc </t>
  </si>
  <si>
    <t>Vin plat</t>
  </si>
  <si>
    <t>Vin fromage</t>
  </si>
  <si>
    <t>Bière soirée</t>
  </si>
  <si>
    <t>Veritable brunch</t>
  </si>
  <si>
    <t>Soft</t>
  </si>
  <si>
    <t>Vin rosé</t>
  </si>
  <si>
    <t>Gauthier traiteur</t>
  </si>
  <si>
    <t>Repas - Gauthier traiteur</t>
  </si>
  <si>
    <t>Articles</t>
  </si>
  <si>
    <t>Prix unitaire HT</t>
  </si>
  <si>
    <t>Unité</t>
  </si>
  <si>
    <t>Quantités</t>
  </si>
  <si>
    <t>Sélectionner ?</t>
  </si>
  <si>
    <t>Total HT</t>
  </si>
  <si>
    <t>Total TTC</t>
  </si>
  <si>
    <t>COCKTAIL — PIÈCES FROIDES</t>
  </si>
  <si>
    <t>Pièce déco légumes à croquer (200 pcs) + fromage blanc</t>
  </si>
  <si>
    <t>pièce</t>
  </si>
  <si>
    <t>Pièce déco fruits frais + brochettes (200 pcs)</t>
  </si>
  <si>
    <t>Tartines et Fingers (Saint-Jacques, canard, saumon, carotte)</t>
  </si>
  <si>
    <t>Jolis Légumes (betterave, courgette, carotte)</t>
  </si>
  <si>
    <t>Millefeuille saumon fumé maison &amp; mozzarella</t>
  </si>
  <si>
    <t>Millefeuille de veau vitello Tonnato</t>
  </si>
  <si>
    <t>Mi cuit de thon aux sésames et soja</t>
  </si>
  <si>
    <t>Tataki de filet de bœuf gravlax</t>
  </si>
  <si>
    <t>Club crabe épicé, chou blanc, carottes, pain noir</t>
  </si>
  <si>
    <t>Pain aux céréales garnis en surprise (30 pcs)</t>
  </si>
  <si>
    <t>Œufs toqués – crème brûlée à la truffe</t>
  </si>
  <si>
    <t>Œufs toqués – crème d'œuf et piperade, gressin</t>
  </si>
  <si>
    <t>Cuillère Ceviche Daurade, guacamole, perles citron</t>
  </si>
  <si>
    <t>Carpaccio de bœuf, parmesan, pétales de fleurs</t>
  </si>
  <si>
    <t>Verrine tartare thon rouge, tomates confites, câpres</t>
  </si>
  <si>
    <t>Gaspacho andalou glacé</t>
  </si>
  <si>
    <t>COCKTAIL — PIÈCES CHAUDES</t>
  </si>
  <si>
    <t>Tartes fines et petits chauds (rouget, boudin noir, ris de veau…)</t>
  </si>
  <si>
    <t>Pastilla de pigeon rôti, confit de fruits de saison</t>
  </si>
  <si>
    <t>Pastilla de daurade mi-cuite, chutney agrumes</t>
  </si>
  <si>
    <t>Brick de thon aux épices, accras de morue</t>
  </si>
  <si>
    <t>Huîtres chaudes, julienne de carottes, curry léger</t>
  </si>
  <si>
    <t>Brochettes Saint-Jacques au lard fumé du Perche</t>
  </si>
  <si>
    <t>Brochettes croustillantes légumes &amp; cochon du Perche</t>
  </si>
  <si>
    <t>Bonbons croustillants au foie gras chaud</t>
  </si>
  <si>
    <t>Burger foie gras poêlé &amp; pommes flambées calvados</t>
  </si>
  <si>
    <t>Mini Bagels à la provençale</t>
  </si>
  <si>
    <t>Briochette aux escargots du Perche</t>
  </si>
  <si>
    <t>Pipette de jus de cassis, cromesquis bleu &amp; noix</t>
  </si>
  <si>
    <t>Gaufre citrons confits, saumon gravlax, fenouil</t>
  </si>
  <si>
    <t>Cuillère gambas panées coco, chutney ananas, menthe</t>
  </si>
  <si>
    <t>Cuillère filet de rouget tiède, huile de persil, pickles</t>
  </si>
  <si>
    <t>COCKTAIL — BUFFETS À THÈMES</t>
  </si>
  <si>
    <t>Banc d'huîtres Normandes n°3 (médaillées), pain seigle, beurre</t>
  </si>
  <si>
    <t>Plancha de la mer (Saint-Jacques, crevettes pesto, toasts)</t>
  </si>
  <si>
    <t>Dégustation saumons écossais fumés maison (blinis, crème…)</t>
  </si>
  <si>
    <t>Tartares de poissons sur glace (thon, bar, saumon)</t>
  </si>
  <si>
    <t>Les Petits Fumoirs (thon, saumon, canard, bœuf sous cloches)</t>
  </si>
  <si>
    <t>Dégustation foie gras de canard (3 façons, brioche maison)</t>
  </si>
  <si>
    <t>kg</t>
  </si>
  <si>
    <t>Buffet typiquement Percheron (boudin, terrine, jambon, rillons)</t>
  </si>
  <si>
    <t>Os à moelle rôtis sur pain grillé, fleur de sel</t>
  </si>
  <si>
    <t>Barbecue braise mini-brochettes (volaille, bœuf, magret)</t>
  </si>
  <si>
    <t>Foie gras poêlé devant vous, baguette du Perche</t>
  </si>
  <si>
    <t>Pommes de terre Rattes chaudes, escargots, foie gras</t>
  </si>
  <si>
    <t>Galettes &amp; crêpes garnies sur Billig (salées et sucrées)</t>
  </si>
  <si>
    <t>Saint-Jacques flambées au calvados, fondue de poireaux</t>
  </si>
  <si>
    <t>Ris de veau flambés au cognac, épinards fondants</t>
  </si>
  <si>
    <t>Queues de gambas flambées, pic bambou</t>
  </si>
  <si>
    <t>Poêlée légumes de saison, espuma chlorophylle</t>
  </si>
  <si>
    <t>Tartare végétal, herbes fraîches, condiments, pains grillés</t>
  </si>
  <si>
    <t>Spécialités d'Asie – shop suey légumes &amp; crevettes wok</t>
  </si>
  <si>
    <t>Maki saumon &amp; sésames</t>
  </si>
  <si>
    <t>Maki thon rouge &amp; légumes</t>
  </si>
  <si>
    <t>Mini Nems</t>
  </si>
  <si>
    <t>Jambon de Parme découpé (à la pièce = 1 jambon entier)</t>
  </si>
  <si>
    <t>Assortiment antipasti légumes, parmesan, pain huile d'olive</t>
  </si>
  <si>
    <t>Jambon Ibérique Pata Negra Bellota (1 jambon entier)</t>
  </si>
  <si>
    <t xml:space="preserve">Assortiment de chorizo, Légumes grillés et pain à l’huile d’olive </t>
  </si>
  <si>
    <t>ANIMATIONS SUCRÉES &amp; DOUCEURS COCKTAIL</t>
  </si>
  <si>
    <t>Smoothies &amp; jus d'agrumes frais pressés minute</t>
  </si>
  <si>
    <t>personne</t>
  </si>
  <si>
    <t>Voiture de glaces &amp; sorbets à l'ancienne</t>
  </si>
  <si>
    <t>Barbes à papa pour enfants</t>
  </si>
  <si>
    <t>Mini crêpes sucrées garnies à la minute (Billig)</t>
  </si>
  <si>
    <t>Brochettes de fruits de saison</t>
  </si>
  <si>
    <t>Ananas entier en robe de fraises</t>
  </si>
  <si>
    <t>Assortiment fours frais (Caroline, Paris-brest, Dôme passion…)</t>
  </si>
  <si>
    <t>Mini macarons assortis (caramel, agrumes, fruits rouges, choco)</t>
  </si>
  <si>
    <t>REPAS — ENTRÉES LÉGÈRES</t>
  </si>
  <si>
    <t>Tartare saumon, émulsion courgette basilic, tuile parmesan</t>
  </si>
  <si>
    <t>Légumes taboulé, colin confit, vinaigrette ginger &amp; agrumes</t>
  </si>
  <si>
    <t>Bar en carpaccio, passion &amp; vanille, tartare végétal</t>
  </si>
  <si>
    <t>Saint-Jacques poêlées, vinaigrette coriandre &amp; miel</t>
  </si>
  <si>
    <t>Saint-Jacques rôties orange, purée panais vanillée, passion</t>
  </si>
  <si>
    <t>Queues langoustines &amp; Saint-Jacques, caviar courgettes, pesto</t>
  </si>
  <si>
    <t>Filet de rouget rôti, tomates concassées, salade crue/cuite</t>
  </si>
  <si>
    <t>Risotto crémeux, queues de langoustines rôties, sésames</t>
  </si>
  <si>
    <t>Daurade plancha, caviar d'aubergine, fenouil confit</t>
  </si>
  <si>
    <t>Saumon fumé maison, salade légumes croquants, asperges</t>
  </si>
  <si>
    <t>Foie gras cuit au torchon, chutney pommes, pain d'épice</t>
  </si>
  <si>
    <t>Foie gras cuit comme un nougat, pain fruits secs, fruits rouges</t>
  </si>
  <si>
    <t>REPAS — ENTRÉES VÉGÉTALES</t>
  </si>
  <si>
    <t>Tarte fine tiède tomates confites, mozzarella bufala, pesto</t>
  </si>
  <si>
    <t>Tomate farcie de légumes crus &amp; cuits, pétales, huile vierge</t>
  </si>
  <si>
    <t>REPAS — PLATS POISSONS</t>
  </si>
  <si>
    <t>Saumon rôti à l'estragon, écrasé pommes de terre, légumes</t>
  </si>
  <si>
    <t>Cabillaud poêlé, purée carottes cumin, asperges, beurre yuzu</t>
  </si>
  <si>
    <t>Daurade plancha, aubergine, fenouil, tomates cerises, polenta</t>
  </si>
  <si>
    <t>Rouget soufflé, crémeux langoustines, légumes rôtis</t>
  </si>
  <si>
    <t>Tonnelet de colin, bouillon végétal, pois gourmands, carotte</t>
  </si>
  <si>
    <t>Bar poêlé, beurre de thym, tagliatelles de légumes</t>
  </si>
  <si>
    <t>Turbot rôti sur l'arrête, champignons du moment, fenouil rôti</t>
  </si>
  <si>
    <t>REPAS — PLATS VEGETAUX</t>
  </si>
  <si>
    <t xml:space="preserve">Risotto aux champignons, légumes du potager, Chips de Parmesan </t>
  </si>
  <si>
    <t>Purée de PdT à la truffe et légumes du sud Grillés, Crumble au thym</t>
  </si>
  <si>
    <t>REPAS — PLATS VIANDES &amp; VOLAILLES</t>
  </si>
  <si>
    <t>Magret canard rôti miel Forêt du Perche &amp; poire, légumes racines</t>
  </si>
  <si>
    <t>Magret canard rôti romarin, jus corsé, PdT fondante, carottes</t>
  </si>
  <si>
    <t>Magret &amp; foie gras de canard, galette darphin, sauce truffe</t>
  </si>
  <si>
    <t>Filet pintade beurre de thym, tarte fine tomates, courgette</t>
  </si>
  <si>
    <t>Filet pintade agrumes, citrons confits, purée carottes</t>
  </si>
  <si>
    <t>Suprême pintade farcie foie gras &amp; pommes, réduction cidre</t>
  </si>
  <si>
    <t>Poularde Culoiseau à la Percheronne (2 façons), jus carcasse</t>
  </si>
  <si>
    <t>Pigeonneau d'Anjou rôti, griottes, jus et légumes braisés</t>
  </si>
  <si>
    <t>Quasi de veau basse temp., beurre estragon, purée vitelotte</t>
  </si>
  <si>
    <t>Paleron de veau tout doucement, légumes grillés, gratin PdT</t>
  </si>
  <si>
    <t>Filet de veau rôti, thym-romarin, PdT nouvelles, asperges</t>
  </si>
  <si>
    <t>Grenadin filet veau rôti aux morilles, PdT Anna, légumes</t>
  </si>
  <si>
    <t>Filet mignon porc pommeau, pomme flambée calvados, gratin</t>
  </si>
  <si>
    <t>Longe de cochon basse température, jus corsé, légumes</t>
  </si>
  <si>
    <t>Filet de bœuf rôti sauce bordelaise, gâteau PdT parmesan</t>
  </si>
  <si>
    <t>Filet de bœuf, infusion praline rose, PdT écrasées truffées</t>
  </si>
  <si>
    <t>Tournedos filet bœuf girolles, jus pommeau, poire aigre-doux</t>
  </si>
  <si>
    <t>Filet de bœuf à la ficelle, légumes pot-au-feu, sauce ravigote</t>
  </si>
  <si>
    <t>Cuissot agneau rôti, gratin aubergines &amp; légumes du sud</t>
  </si>
  <si>
    <t>Carré agneau d'Indre &amp; Loir cumin, écrasé olives, légumes</t>
  </si>
  <si>
    <t>Duo carré &amp; cuissot agneau romarin, ail, tian de légumes</t>
  </si>
  <si>
    <t>FORMULES CONVIVIALES</t>
  </si>
  <si>
    <t>Porcelet Vallégrain rôti à la broche + garnitures</t>
  </si>
  <si>
    <t>Méchoui – agneau entier à la broche + garnitures</t>
  </si>
  <si>
    <t>Côtes de bœuf au barbecue + garnitures au choix</t>
  </si>
  <si>
    <t>Côte de veau double à la découpe (jus thym-romarin)</t>
  </si>
  <si>
    <t>Agneau de 7h, légumes grillés, écrasé PdT aux olives</t>
  </si>
  <si>
    <t>Bœuf braisé citrons confits, légumes oubliés, PdT truffées</t>
  </si>
  <si>
    <t>Tajines marocains (agneau pruneaux + volaille citrons confits)</t>
  </si>
  <si>
    <t>FROMAGES</t>
  </si>
  <si>
    <t>Ardoise 3 fromages traditionnels au centre des tables</t>
  </si>
  <si>
    <t>pers</t>
  </si>
  <si>
    <t>Plateaux fromages servis à l'Anglaise (maître d'hôtel)</t>
  </si>
  <si>
    <t>Camembert à la truffe maison</t>
  </si>
  <si>
    <t>Trilogie fromages, salade fruits secs, petit pain aux noix</t>
  </si>
  <si>
    <t>SORBETS &amp; GRANITÉ</t>
  </si>
  <si>
    <t>Le trou normand (sorbet + alcool maison)</t>
  </si>
  <si>
    <t>Sorbet au choix avec alcool</t>
  </si>
  <si>
    <t>Sorbet tomates, chutney tomates, chips, jambon</t>
  </si>
  <si>
    <t>DESSERTS — SERVIS À L'ASSIETTE</t>
  </si>
  <si>
    <t>Fraises en gaspacho, fruits rouges, émulsion pétales de roses</t>
  </si>
  <si>
    <t>Magnifique Poire (trompe l'œil, caramel sel, crumble)</t>
  </si>
  <si>
    <t>Le Citron tout simplement (trompe l'œil, sablé, crémeux)</t>
  </si>
  <si>
    <t>Sphère Pomme &amp; Chocolat noir, crumble noisette, sauce choco</t>
  </si>
  <si>
    <t>Agrumes en folie – chocolat, sabayon, parfait glacé, kumquat</t>
  </si>
  <si>
    <t>Framboises × 3 – framboisier, sablé romarin, sorbet</t>
  </si>
  <si>
    <t>Poire tiède piquée vanille, caramel pommeau, cigarette russe</t>
  </si>
  <si>
    <t>Assiette gourmande sur mesure</t>
  </si>
  <si>
    <t>DESSERTS — ENTREMETS À PARTAGER &amp; BUFFETS</t>
  </si>
  <si>
    <t>Entremets à partager sur tables (fraisier, framboisier…)</t>
  </si>
  <si>
    <t>Buffet Gourmandises (verrines, petits fours, crêpes Suzette)</t>
  </si>
  <si>
    <t>Buffet pâtisseries traditionnelles &amp; signatures (Forêt Noire…)</t>
  </si>
  <si>
    <t>Buffet Gourmand &amp; Tradition (verrines + pâtisseries + pièce)</t>
  </si>
  <si>
    <t>Babas bouchons imbibés minute (complément buffet)</t>
  </si>
  <si>
    <t>Animation fruits à la découpe minute (carpaccio de fruits)</t>
  </si>
  <si>
    <t>Animation fontaine de chocolat + guimauves, fruits, noix…</t>
  </si>
  <si>
    <t>PIÈCES MONTÉES &amp; PRÉSENTATIONS DESSERT</t>
  </si>
  <si>
    <t>Pièce montée croquembouche (prix par chou)</t>
  </si>
  <si>
    <t>chou</t>
  </si>
  <si>
    <t>Wedding cake / Naked cake (fraisier, framboisier, forêt noire…)</t>
  </si>
  <si>
    <t>Pyramide de macarons sur support plexi (2 macarons/pers.)</t>
  </si>
  <si>
    <t>Gâteau personnalisé anniversaire / mariage (sur devis)</t>
  </si>
  <si>
    <t>PAIN</t>
  </si>
  <si>
    <t>Petits pains de campagne individuels pendant le repas</t>
  </si>
  <si>
    <t>BOISSONS SANS ALCOOL (forfait par personne)</t>
  </si>
  <si>
    <t>Forfait Classique (eau, Badoit, Coca, jus orange &amp; pomme, Perrier)</t>
  </si>
  <si>
    <t>Forfait Tradition (Châteldon, Cola de Beauce, jus artisanaux, limonade)</t>
  </si>
  <si>
    <t>Accueil Soft (eau, sodas, Perrier, jus fruits) – pendant photos</t>
  </si>
  <si>
    <t>Accueil Citronnade maison &amp; eau de source – pendant photos</t>
  </si>
  <si>
    <t>Café, thé et infusions</t>
  </si>
  <si>
    <t>Nespresso + café, thé et infusions</t>
  </si>
  <si>
    <t>PRESTATIONS SOIRÉE</t>
  </si>
  <si>
    <t>Burger au bœuf en chaffing Dish</t>
  </si>
  <si>
    <t>Panini jambon cru &amp; mozzarella</t>
  </si>
  <si>
    <t>Hot dog (coupé en 3-4 au buffet)</t>
  </si>
  <si>
    <t>Mini crêpes salées &amp; sucrées garnies à la minute</t>
  </si>
  <si>
    <t>Ardoise saucisses &amp; jambon, beurre, pain campagne</t>
  </si>
  <si>
    <t>Rillettes du Mans + pain campagne (au kg)</t>
  </si>
  <si>
    <t>Terrine de canard maison + pain campagne (au kg)</t>
  </si>
  <si>
    <t>Sucettes fruits frais au chocolat</t>
  </si>
  <si>
    <t>Brochettes fruits frais de saison</t>
  </si>
  <si>
    <t>Fours frais (Caroline, Paris-brest, Dôme passion…)</t>
  </si>
  <si>
    <t>Corbeille de fruits de saison</t>
  </si>
  <si>
    <t>Bases cocktail soirée : Mojitos (sans alcool)</t>
  </si>
  <si>
    <t>Bases cocktail soirée : Caïpirinha (sans alcool)</t>
  </si>
  <si>
    <t>LENDEMAIN DE RÉCEPTION</t>
  </si>
  <si>
    <t>Brunch buffet froid classique</t>
  </si>
  <si>
    <t>Véritable Brunch (avec service, café, viennoiseries, œufs brouillés…)</t>
  </si>
  <si>
    <t>Jambon Pommes de terre (jambon à l'os Vallégrain, brie, tarte normande)</t>
  </si>
  <si>
    <t>Poulet du dimanche (rôti à l'ancienne, gratin dauphinois, brie…)</t>
  </si>
  <si>
    <t>Barbecue lendemain (faux-filet &amp; saucisses, PdT robe des champs…)</t>
  </si>
  <si>
    <t>AUTRES</t>
  </si>
  <si>
    <t>Prestation de service complète (13h30 → 4h30, 8 personnes)</t>
  </si>
  <si>
    <t>forfait</t>
  </si>
  <si>
    <t>Vaisselle &amp; nappage (location complète pour cocktail + dîner)</t>
  </si>
  <si>
    <t>Devis Food Truck</t>
  </si>
  <si>
    <t>Repas - Devis Food Truck</t>
  </si>
  <si>
    <t>Type</t>
  </si>
  <si>
    <t>Prix</t>
  </si>
  <si>
    <t>Le MaquisFood</t>
  </si>
  <si>
    <t>Africain</t>
  </si>
  <si>
    <t>Afro B Food</t>
  </si>
  <si>
    <t>Safssa African</t>
  </si>
  <si>
    <t xml:space="preserve">Ne se déplace pas pour si peu </t>
  </si>
  <si>
    <t>Miam Wezon</t>
  </si>
  <si>
    <t>Saveurs du Brésil</t>
  </si>
  <si>
    <t>Brésilien</t>
  </si>
  <si>
    <t>Trop loin, ils ne se déplacent pas à Meaucé</t>
  </si>
  <si>
    <t>Caramia</t>
  </si>
  <si>
    <t>Italien</t>
  </si>
  <si>
    <t>Haly Shack</t>
  </si>
  <si>
    <t>Pour 2 food trucks (45 burgers et 45 pizzas)</t>
  </si>
  <si>
    <t>Vittoria pizza napoletana</t>
  </si>
  <si>
    <t>Les conditions de privatisation sont les suivantes:
- Pizzas au choix (4 à 5 pizzas au choix et à sélectionner sur la carte) : 15€/pizza TTC
- Quantité minimum : 80 pizzas
- Frais de prestation / privatisation : 350€ TTC</t>
  </si>
  <si>
    <t>La séance pizza</t>
  </si>
  <si>
    <t>Le grand tipi</t>
  </si>
  <si>
    <t>Tigrata Pizza</t>
  </si>
  <si>
    <t>Pas dispo sur cette date</t>
  </si>
  <si>
    <t>Flamm’man</t>
  </si>
  <si>
    <t>Alsacien</t>
  </si>
  <si>
    <t>18€/pers formule à volonté avec les tartes flambées classiques + 300€ frais de déplacement (930€ pour 35 pers)</t>
  </si>
  <si>
    <t xml:space="preserve"> Mon pref </t>
  </si>
  <si>
    <t>Larry’s food truck</t>
  </si>
  <si>
    <t>Hot dogs</t>
  </si>
  <si>
    <t>Burger stream</t>
  </si>
  <si>
    <t>Burger</t>
  </si>
  <si>
    <t>Le tacot burger</t>
  </si>
  <si>
    <t>Nous allons décliner votre demande, cela fait trop peu de repas au vu de la distance, nous sommes à 240kms aller/retour, c'est beaucoup de temps sur la route comparé au temps sur place.</t>
  </si>
  <si>
    <t>Wagy’s Burger</t>
  </si>
  <si>
    <t>L’Hambulant</t>
  </si>
  <si>
    <t>La remorque de Gab</t>
  </si>
  <si>
    <r>
      <rPr>
        <b val="1"/>
        <sz val="9"/>
        <color indexed="8"/>
        <rFont val="Helvetica"/>
      </rPr>
      <t>Formule 1 :</t>
    </r>
    <r>
      <rPr>
        <sz val="9"/>
        <color indexed="8"/>
        <rFont val="Helvetica"/>
      </rPr>
      <t xml:space="preserve"> Burger + Frites = </t>
    </r>
    <r>
      <rPr>
        <b val="1"/>
        <sz val="9"/>
        <color indexed="8"/>
        <rFont val="Helvetica"/>
      </rPr>
      <t>13 €</t>
    </r>
    <r>
      <rPr>
        <sz val="9"/>
        <color indexed="8"/>
        <rFont val="Helvetica"/>
      </rPr>
      <t xml:space="preserve"> par personne pour 50 pers (+ frais kilométriques et privatisation)</t>
    </r>
  </si>
  <si>
    <t>Mon pref</t>
  </si>
  <si>
    <t>House of Meats</t>
  </si>
  <si>
    <t>16,5€/Pers + 200€ frais de staff et déplacement (menu avec 3 burgers au choix ou planche de BBQ)</t>
  </si>
  <si>
    <t>Wood truck</t>
  </si>
  <si>
    <t>Tartines</t>
  </si>
  <si>
    <t>Que en IDF</t>
  </si>
  <si>
    <t>Ty’Joh food truck</t>
  </si>
  <si>
    <t>Crêpe</t>
  </si>
  <si>
    <t>Burg’Eure</t>
  </si>
  <si>
    <t>Bagels</t>
  </si>
  <si>
    <t>Bagel Gourmet</t>
  </si>
  <si>
    <t xml:space="preserve">Leur food Truck ne se déplace pas </t>
  </si>
  <si>
    <t xml:space="preserve">Rest’Truck </t>
  </si>
  <si>
    <r>
      <rPr>
        <sz val="9"/>
        <color indexed="8"/>
        <rFont val="Helvetica"/>
      </rPr>
      <t xml:space="preserve">Nous ne traitons pas pour le moment les demandes de 2027. 
</t>
    </r>
    <r>
      <rPr>
        <sz val="9"/>
        <color indexed="8"/>
        <rFont val="Helvetica"/>
      </rPr>
      <t xml:space="preserve">Pour 2026 les tarifs sont autour de 25 € par personne pour un brunch tout compris.  
</t>
    </r>
    <r>
      <rPr>
        <sz val="9"/>
        <color indexed="8"/>
        <rFont val="Helvetica"/>
      </rPr>
      <t xml:space="preserve">pour voir la composition je vous invite à le consulter sur notre site internet 
</t>
    </r>
    <r>
      <rPr>
        <u val="single"/>
        <sz val="9"/>
        <color indexed="8"/>
        <rFont val="Helvetica"/>
      </rPr>
      <t>resthome21.com</t>
    </r>
  </si>
  <si>
    <t xml:space="preserve">Notre truck en plus </t>
  </si>
  <si>
    <t>Pancake factory</t>
  </si>
  <si>
    <t>Pancake</t>
  </si>
  <si>
    <t>La mont vinette</t>
  </si>
  <si>
    <t>Cocktail</t>
  </si>
  <si>
    <t xml:space="preserve">1,8 verre par personne - devis modulable </t>
  </si>
  <si>
    <t>L’instant drink</t>
  </si>
  <si>
    <t xml:space="preserve">Forfait fin d'honneur tout compris avec 2 barmans (alcool, soft, verres…) &gt; 900€ si on prends que les 2 barmans </t>
  </si>
  <si>
    <t>Bien !</t>
  </si>
  <si>
    <t>Jungle Juice</t>
  </si>
  <si>
    <t xml:space="preserve">3 cocktail/pers - 2h pendant le vin d’honneur avec 2 barmans </t>
  </si>
  <si>
    <t>Bar’oof</t>
  </si>
  <si>
    <t>Nous travaillons sur une base de 2,5 cocktails par personne, dont au moins 30% de mocktails, pour une durée de service de 2h. Chaque formule comprend l'ensemble des ingrédients, l'alcool, la glace et la verrerie.
Nous proposons trois gammes :
• Formule Découverte : 12 € TTC / cocktail et 8 € TTC / mocktail
• Formule Signature : 14 € TTC / cocktail et 9 € TTC / mocktail
• Formule Création : 16 € TTC / cocktail et 10 € TTC / mocktail
À titre indicatif pour 90 invités (base 2,5 consommations/pers. avec 30% de mocktails) :
— Découverte : 158 cocktails × 12 € + 67 mocktails × 8 € = 1 896 € + 536 € = 2 432 € TTC
— Signature : 158 × 14 € + 67 × 9 € = 2 212 € + 603 € = 2 815 € TTC
— Création : 158 × 16 € + 67 × 10 € = 2 528 € + 670 € = 3 198 € TTC
À cela s'ajoutent :
— Location du bar mobile : 180 € TTC
— Frais de déplacement : 144€ TTC
— Heure de service supplémentaire (au-delà des 2h) : 108 € TTC / heure</t>
  </si>
  <si>
    <t>Bistro sauvage</t>
  </si>
  <si>
    <t>Le bistrot FMR</t>
  </si>
  <si>
    <t>Se déplace pas aussi loin</t>
  </si>
  <si>
    <t>Le bar’bu</t>
  </si>
  <si>
    <t xml:space="preserve">Pas dispo sur cette date </t>
  </si>
  <si>
    <t>Chope moi ça</t>
  </si>
  <si>
    <t>Bière truck</t>
  </si>
  <si>
    <t>4h avec service</t>
  </si>
  <si>
    <r>
      <rPr>
        <u val="single"/>
        <sz val="10"/>
        <color indexed="8"/>
        <rFont val="Helvetica Neue"/>
      </rPr>
      <t>https://biere-truck.fr/tarifs/</t>
    </r>
  </si>
  <si>
    <t>Devis Brunch</t>
  </si>
  <si>
    <t>Repas - Devis Brunch</t>
  </si>
  <si>
    <t>Prix/pers</t>
  </si>
  <si>
    <t>Crèpes Saveurs de l'astrolabe</t>
  </si>
  <si>
    <t>Crêpes</t>
  </si>
  <si>
    <r>
      <rPr>
        <sz val="10"/>
        <color indexed="8"/>
        <rFont val="Helvetica Neue"/>
      </rPr>
      <t>1152€</t>
    </r>
  </si>
  <si>
    <r>
      <rPr>
        <u val="single"/>
        <sz val="10"/>
        <color indexed="8"/>
        <rFont val="Helvetica Neue"/>
      </rPr>
      <t>saveursdelastrolabe@gmail.com</t>
    </r>
  </si>
  <si>
    <t>Frush paris</t>
  </si>
  <si>
    <r>
      <rPr>
        <sz val="10"/>
        <color indexed="8"/>
        <rFont val="Helvetica Neue"/>
      </rPr>
      <t>24,90€/pers min &gt; 2570€ pour 50 pers</t>
    </r>
  </si>
  <si>
    <r>
      <rPr>
        <u val="single"/>
        <sz val="10"/>
        <color indexed="8"/>
        <rFont val="Helvetica Neue"/>
      </rPr>
      <t>contact@frushparis.com</t>
    </r>
  </si>
  <si>
    <t>Food truck Crêpes troopers</t>
  </si>
  <si>
    <r>
      <rPr>
        <sz val="10"/>
        <color indexed="8"/>
        <rFont val="Helvetica Neue"/>
      </rPr>
      <t>À partir de 20€/pers sans boisson pour crêpes illimités ou 15€ pour une crêpe sucrée et une crêpe salée</t>
    </r>
  </si>
  <si>
    <r>
      <rPr>
        <u val="single"/>
        <sz val="10"/>
        <color indexed="8"/>
        <rFont val="Helvetica Neue"/>
      </rPr>
      <t>crepestroopers@gmail.com</t>
    </r>
  </si>
  <si>
    <t>Only brunch</t>
  </si>
  <si>
    <t>À partir de 26,90€/pers</t>
  </si>
  <si>
    <r>
      <rPr>
        <u val="single"/>
        <sz val="10"/>
        <color indexed="8"/>
        <rFont val="Helvetica Neue"/>
      </rPr>
      <t>contact@onlybrunch.fr</t>
    </r>
  </si>
  <si>
    <t>Ça brunch pour moi</t>
  </si>
  <si>
    <r>
      <rPr>
        <sz val="10"/>
        <color indexed="8"/>
        <rFont val="Helvetica Neue"/>
      </rPr>
      <t xml:space="preserve">18€/pers : </t>
    </r>
    <r>
      <rPr>
        <u val="single"/>
        <sz val="10"/>
        <color indexed="8"/>
        <rFont val="Helvetica Neue"/>
      </rPr>
      <t>https://docs.google.com/spreadsheets/d/19l5phokZF2XZjeLtiz9Oy7kY7lfZbUJk4QnpF3BRvF4/edit?gid=2050704359#gid=2050704359</t>
    </r>
  </si>
  <si>
    <r>
      <rPr>
        <u val="single"/>
        <sz val="10"/>
        <color indexed="8"/>
        <rFont val="Helvetica Neue"/>
      </rPr>
      <t>brunchpourmoi@gmail.com</t>
    </r>
  </si>
  <si>
    <t>Brunch’eure</t>
  </si>
  <si>
    <r>
      <rPr>
        <u val="single"/>
        <sz val="10"/>
        <color indexed="8"/>
        <rFont val="Helvetica Neue"/>
      </rPr>
      <t>https://www.bruncheure.fr/demande-de-devis</t>
    </r>
  </si>
  <si>
    <t>Les toqués de brunch</t>
  </si>
  <si>
    <r>
      <rPr>
        <u val="single"/>
        <sz val="10"/>
        <color indexed="8"/>
        <rFont val="Helvetica Neue"/>
      </rPr>
      <t>https://www.instagram.com/lestoquesdebrunchco/</t>
    </r>
  </si>
  <si>
    <t>Collet traiteur</t>
  </si>
  <si>
    <t>En dehors de leur périmètre</t>
  </si>
  <si>
    <r>
      <rPr>
        <u val="single"/>
        <sz val="10"/>
        <color indexed="8"/>
        <rFont val="Helvetica Neue"/>
      </rPr>
      <t>https://www.collet-traiteur.fr/public/files/69eb84aa9ec2a.pdf</t>
    </r>
  </si>
  <si>
    <t xml:space="preserve">À votre goût </t>
  </si>
  <si>
    <t xml:space="preserve">En vacances à cette période </t>
  </si>
  <si>
    <r>
      <rPr>
        <u val="single"/>
        <sz val="10"/>
        <color indexed="8"/>
        <rFont val="Helvetica Neue"/>
      </rPr>
      <t>https://www.avotregout.fr/services/brunch</t>
    </r>
  </si>
  <si>
    <t>Briffaut traiteur</t>
  </si>
  <si>
    <t>Pas de devis sans call</t>
  </si>
  <si>
    <r>
      <rPr>
        <u val="single"/>
        <sz val="10"/>
        <color indexed="8"/>
        <rFont val="Helvetica Neue"/>
      </rPr>
      <t>https://www.briffaut-traiteur.fr/</t>
    </r>
  </si>
  <si>
    <t>Un plaisir pour les papilles</t>
  </si>
  <si>
    <r>
      <rPr>
        <u val="single"/>
        <sz val="10"/>
        <color indexed="8"/>
        <rFont val="Helvetica Neue"/>
      </rPr>
      <t>https://www.facebook.com/profile.php?id=61557985466386&amp;utm_source=ig&amp;utm_medium=social&amp;utm_content=link_in_bio</t>
    </r>
  </si>
  <si>
    <t>Terroir d'épicure</t>
  </si>
  <si>
    <r>
      <rPr>
        <u val="single"/>
        <sz val="10"/>
        <color indexed="8"/>
        <rFont val="Helvetica Neue"/>
      </rPr>
      <t>contact@terroir-epicure.com</t>
    </r>
  </si>
  <si>
    <t>Xavier Hauville</t>
  </si>
  <si>
    <t>Ne fait pas QUE brunch</t>
  </si>
  <si>
    <r>
      <rPr>
        <u val="single"/>
        <sz val="10"/>
        <color indexed="8"/>
        <rFont val="Helvetica Neue"/>
      </rPr>
      <t>https://www.groupe-hauville.com/</t>
    </r>
  </si>
  <si>
    <t>Grand Chemin</t>
  </si>
  <si>
    <t>Elle envoie le devis mardi</t>
  </si>
  <si>
    <r>
      <rPr>
        <u val="single"/>
        <sz val="10"/>
        <color indexed="8"/>
        <rFont val="Helvetica Neue"/>
      </rPr>
      <t>https://grandchemintraiteur.fr/</t>
    </r>
  </si>
  <si>
    <t>Epicura</t>
  </si>
  <si>
    <r>
      <rPr>
        <u val="single"/>
        <sz val="10"/>
        <color indexed="8"/>
        <rFont val="Helvetica Neue"/>
      </rPr>
      <t>https://www.epicura-receptions.fr/</t>
    </r>
  </si>
  <si>
    <t>Couchages</t>
  </si>
  <si>
    <t>Lodge</t>
  </si>
  <si>
    <t>Couchages - Lodge</t>
  </si>
  <si>
    <t>Chambre</t>
  </si>
  <si>
    <t>Capacité</t>
  </si>
  <si>
    <t>Configuration</t>
  </si>
  <si>
    <t>Qui ?</t>
  </si>
  <si>
    <t>Chambre 1 - RDC</t>
  </si>
  <si>
    <t>1 lit double</t>
  </si>
  <si>
    <t>Marie France, Alain</t>
  </si>
  <si>
    <t>Chambre 2 - RDC</t>
  </si>
  <si>
    <t>1 lit double et 2 lits simples</t>
  </si>
  <si>
    <t>Elisabeth, Slovqauie</t>
  </si>
  <si>
    <t>Chambre 1 - Étage</t>
  </si>
  <si>
    <t>Danny, Valérie, Laurence, Marc</t>
  </si>
  <si>
    <t>Chambre 2 - Étage</t>
  </si>
  <si>
    <t>Christophe, Luis, Marco, Cacotte</t>
  </si>
  <si>
    <t>Chambre 3 - Étage</t>
  </si>
  <si>
    <t>Joseph, Marta</t>
  </si>
  <si>
    <t>Chambre 4 - Étage</t>
  </si>
  <si>
    <t>6 lits simples</t>
  </si>
  <si>
    <t>Théo, Claude, Maéva, Pauline, Mickael, Guy</t>
  </si>
  <si>
    <t>Maison</t>
  </si>
  <si>
    <t>Couchages - Maison</t>
  </si>
  <si>
    <t>Chambre 1 - Louise</t>
  </si>
  <si>
    <t>Chambre 2 - Désirée</t>
  </si>
  <si>
    <t>1 lits double et 2 lits simples</t>
  </si>
  <si>
    <t>Alena, Christophe, Amélie, Gaspard</t>
  </si>
  <si>
    <t>Chambre 3 - Jules</t>
  </si>
  <si>
    <t>1 lit double &amp; 3 lits simples</t>
  </si>
  <si>
    <t xml:space="preserve">Séverine, Paul, Céline, Hugues, Constance </t>
  </si>
  <si>
    <t>Cabane</t>
  </si>
  <si>
    <t>Couchages - Cabane</t>
  </si>
  <si>
    <t>Chambre 1</t>
  </si>
  <si>
    <t>1 lit double &amp; 1 lit simple tiroir</t>
  </si>
  <si>
    <t>Bilel, Lucile, Louis</t>
  </si>
  <si>
    <t>Tipis</t>
  </si>
  <si>
    <t>Couchages - Tipis</t>
  </si>
  <si>
    <t>GLYCINE</t>
  </si>
  <si>
    <t>Giresse, Marjorie</t>
  </si>
  <si>
    <t>ROSE</t>
  </si>
  <si>
    <t>Aimé, Héléna</t>
  </si>
  <si>
    <t>GÉRANIUM</t>
  </si>
  <si>
    <t>Loanne, Armand</t>
  </si>
  <si>
    <t>TULIPE</t>
  </si>
  <si>
    <t>Elliot, Alina</t>
  </si>
  <si>
    <t>DAHLIA</t>
  </si>
  <si>
    <t>3 lits simples</t>
  </si>
  <si>
    <t>Valérie, Thierry</t>
  </si>
  <si>
    <t>SAULE</t>
  </si>
  <si>
    <t>Alexandre, Maximilien, Charles, Luke, Olivier, Jordan</t>
  </si>
  <si>
    <t>CERISIER</t>
  </si>
  <si>
    <t>Romain, Leonidas, Mélissande</t>
  </si>
  <si>
    <t>SAPIN</t>
  </si>
  <si>
    <t>Naza, Louise, Gabrielle</t>
  </si>
  <si>
    <t>FRÊNE</t>
  </si>
  <si>
    <t>4 lits simples</t>
  </si>
  <si>
    <t>Marjorie, Leya, Audrey, Clémence</t>
  </si>
  <si>
    <t>POIRIER</t>
  </si>
  <si>
    <t>1 lit double &amp; 2 lits simples</t>
  </si>
  <si>
    <t>Antoine, Marion, Adrien, Noémie</t>
  </si>
  <si>
    <t>HÊTRE</t>
  </si>
  <si>
    <t>Regis, Linda, Laurie, Amandine</t>
  </si>
  <si>
    <t>POMMIER</t>
  </si>
  <si>
    <t>1 lit double &amp; 1 lits simples</t>
  </si>
  <si>
    <t>Vincent, Joelle, Victoriane</t>
  </si>
  <si>
    <t>CHÊNE</t>
  </si>
  <si>
    <t>Goulven, Léa, Yoann, Laure</t>
  </si>
  <si>
    <t>CATALPA</t>
  </si>
  <si>
    <t>Stéphane, Sandrine, Malaurie, Adrien</t>
  </si>
  <si>
    <t>CÈDRE</t>
  </si>
  <si>
    <t>Jean Marc, Marie, Elliane, Jacky</t>
  </si>
  <si>
    <t>Photos &amp; Vidéos - Tableau 1</t>
  </si>
  <si>
    <t>Photobooth</t>
  </si>
  <si>
    <t>Photo</t>
  </si>
  <si>
    <t>Cadeau de 500€ de Bilel</t>
  </si>
  <si>
    <t>Vidéo</t>
  </si>
  <si>
    <t>Groupe photos</t>
  </si>
  <si>
    <t>Photos &amp; Vidéos - Groupe photos</t>
  </si>
  <si>
    <t>Lien exemple</t>
  </si>
  <si>
    <t>Groupe vin d’honneur</t>
  </si>
  <si>
    <t>Jazz</t>
  </si>
  <si>
    <t>MV</t>
  </si>
  <si>
    <t>Après repas</t>
  </si>
  <si>
    <t>Rock</t>
  </si>
  <si>
    <t>DJ soirée</t>
  </si>
  <si>
    <t>Tout genres</t>
  </si>
  <si>
    <t>Maison Groovy</t>
  </si>
  <si>
    <t>DJ brunch</t>
  </si>
  <si>
    <t>House</t>
  </si>
  <si>
    <t>Activités - Tableau 1</t>
  </si>
  <si>
    <t xml:space="preserve">Wedding planner </t>
  </si>
  <si>
    <t xml:space="preserve">Pour la journée du mariage </t>
  </si>
  <si>
    <r>
      <rPr>
        <u val="single"/>
        <sz val="10"/>
        <color indexed="8"/>
        <rFont val="Helvetica Neue"/>
      </rPr>
      <t>https://www.mariages.net/organisation-mariage/made-for-you-events--e245673</t>
    </r>
  </si>
  <si>
    <t>Cours de danse</t>
  </si>
  <si>
    <t>Livre audio</t>
  </si>
  <si>
    <t>Femme maison Groovy</t>
  </si>
  <si>
    <t>Arbre à empreintes</t>
  </si>
  <si>
    <t xml:space="preserve">Journal personnalisé </t>
  </si>
  <si>
    <t>Bar à croquis</t>
  </si>
  <si>
    <t>Rachel Wang</t>
  </si>
  <si>
    <t>https://rachelwetk.com/</t>
  </si>
  <si>
    <t>Devis Coordinatrice</t>
  </si>
  <si>
    <t>Activités - Devis Coordinatrice</t>
  </si>
  <si>
    <t>Contact</t>
  </si>
  <si>
    <t>Claire</t>
  </si>
  <si>
    <t>Coordinatrice</t>
  </si>
  <si>
    <t>Très bon feeling par message, moins en appel. Installation de la décoration des mariés la veille du mariage (1h30/2h d’installation) + Présence de 14h le jour J jusqu’à la première danse &gt; Pas d’assistante ? Pas sure qu’elle reste jusqu’à la première danse sans facturer d’heure sup ?</t>
  </si>
  <si>
    <r>
      <rPr>
        <u val="single"/>
        <sz val="10"/>
        <color indexed="8"/>
        <rFont val="Helvetica Neue"/>
      </rPr>
      <t>Theperfectdate@outlook.fr</t>
    </r>
  </si>
  <si>
    <t>Bon feeling en appel. Vendredi présence pour briefing J-1 (18h-20h). Supervision et coordination Jour-J avec une coordinatrice (09h00 à minuit - présence jusqu’à l’ouverture de bal) = environ 15h + Présence de l’assitante (09h-16h) = 7h</t>
  </si>
  <si>
    <r>
      <rPr>
        <u val="single"/>
        <sz val="10"/>
        <color indexed="8"/>
        <rFont val="Helvetica Neue"/>
      </rPr>
      <t>tiphany.madeforyou@gmail.com</t>
    </r>
  </si>
  <si>
    <t>Robe mairie</t>
  </si>
  <si>
    <t>Robe église</t>
  </si>
  <si>
    <t>Robe soirée</t>
  </si>
  <si>
    <t>Robe brunch</t>
  </si>
  <si>
    <t>Chaussures</t>
  </si>
  <si>
    <t xml:space="preserve">Accessoires </t>
  </si>
  <si>
    <t>Mise en beauté</t>
  </si>
  <si>
    <t>Costume mairie</t>
  </si>
  <si>
    <t>Cadeau maman</t>
  </si>
  <si>
    <t>Costume église</t>
  </si>
  <si>
    <t>Vendredi</t>
  </si>
  <si>
    <t>Voiture récente - type Porsche</t>
  </si>
  <si>
    <r>
      <rPr>
        <u val="single"/>
        <sz val="10"/>
        <color indexed="8"/>
        <rFont val="Helvetica Neue"/>
      </rPr>
      <t>https://www.roadstr.fr/cars/porsche-boxster-type-981-2018-marly-le-roi</t>
    </r>
  </si>
  <si>
    <t>Samedi</t>
  </si>
  <si>
    <t>Vieille voiture décapotable</t>
  </si>
  <si>
    <r>
      <rPr>
        <u val="single"/>
        <sz val="10"/>
        <color indexed="8"/>
        <rFont val="Helvetica Neue"/>
      </rPr>
      <t>https://www.lrm-collection.fr/Location-voiture-mariage,Yvelines,page-30,78,290,.htm</t>
    </r>
  </si>
  <si>
    <t>Décorations</t>
  </si>
  <si>
    <t>Décorations - Tableau 1</t>
  </si>
  <si>
    <t>Commentaire</t>
  </si>
  <si>
    <t>Cadeaux invités</t>
  </si>
  <si>
    <t>Fleurs</t>
  </si>
  <si>
    <t>Devis Fleuriste</t>
  </si>
  <si>
    <t>Décorations - Devis Fleuriste</t>
  </si>
  <si>
    <t>Prestation</t>
  </si>
  <si>
    <t>Ma Vie de Bohème</t>
  </si>
  <si>
    <t>Fleuriste</t>
  </si>
  <si>
    <r>
      <rPr>
        <u val="single"/>
        <sz val="10"/>
        <color indexed="8"/>
        <rFont val="Avenir Book"/>
      </rPr>
      <t>contact@maviedeboheme.fr</t>
    </r>
  </si>
  <si>
    <t>Fanny Fleurs</t>
  </si>
  <si>
    <r>
      <rPr>
        <u val="single"/>
        <sz val="10"/>
        <color indexed="8"/>
        <rFont val="Avenir Book"/>
      </rPr>
      <t>contact@fannyfleurs.com</t>
    </r>
  </si>
  <si>
    <t>Atelier Floral</t>
  </si>
  <si>
    <r>
      <rPr>
        <u val="single"/>
        <sz val="10"/>
        <color indexed="8"/>
        <rFont val="Avenir Book"/>
      </rPr>
      <t>delphine.tourne@wanadoo.fr</t>
    </r>
  </si>
  <si>
    <t>L'atelier de Fleur</t>
  </si>
  <si>
    <r>
      <rPr>
        <u val="single"/>
        <sz val="10"/>
        <color indexed="8"/>
        <rFont val="Avenir Book"/>
      </rPr>
      <t>latelierdefleurd@gmail.com</t>
    </r>
  </si>
  <si>
    <t>Caroll</t>
  </si>
  <si>
    <r>
      <rPr>
        <u val="single"/>
        <sz val="10"/>
        <color indexed="8"/>
        <rFont val="Avenir Book"/>
      </rPr>
      <t>desfleursencouleurs@outlook.fr</t>
    </r>
  </si>
  <si>
    <t>Coiffure/Maquillage</t>
  </si>
  <si>
    <t>Devis Makeup</t>
  </si>
  <si>
    <t>Coiffure_Maquillage - Devis Mak</t>
  </si>
  <si>
    <t>Justine Makeup</t>
  </si>
  <si>
    <t>Maquillage</t>
  </si>
  <si>
    <t>280€ = maquillage, essai (déplacement pour le samedi : 44€) / 75€ pour le makeup d’une invitée</t>
  </si>
  <si>
    <r>
      <rPr>
        <u val="single"/>
        <sz val="10"/>
        <color indexed="8"/>
        <rFont val="Helvetica Neue"/>
      </rPr>
      <t>justine.lenik@laposte.net</t>
    </r>
  </si>
  <si>
    <t>Gaelle Gilot</t>
  </si>
  <si>
    <t>350€ = maquillage, essai pour le samedi (frais de déplacement : 47€) / 90€ pour le makeup d’une invitée</t>
  </si>
  <si>
    <r>
      <rPr>
        <u val="single"/>
        <sz val="10"/>
        <color indexed="8"/>
        <rFont val="Helvetica Neue"/>
      </rPr>
      <t>contact@gaellegilotmakeup.com</t>
    </r>
  </si>
  <si>
    <t>Maeliys Make up</t>
  </si>
  <si>
    <t>280€ essai et maquillage jour J / 95€ frais de déplacement / 90€ maquillage invitée</t>
  </si>
  <si>
    <r>
      <rPr>
        <u val="single"/>
        <sz val="10"/>
        <color indexed="8"/>
        <rFont val="Helvetica Neue"/>
      </rPr>
      <t>maeliys_makeup28@orange.fr</t>
    </r>
  </si>
  <si>
    <t>Eva Gelly</t>
  </si>
  <si>
    <t>Essai + Jour J Maquillage: 400€ / frais de déplacement 80€ / maquillage invitée : 110€</t>
  </si>
  <si>
    <r>
      <rPr>
        <u val="single"/>
        <sz val="10"/>
        <color indexed="8"/>
        <rFont val="Helvetica Neue"/>
      </rPr>
      <t>contact.evagelly@gmail.com</t>
    </r>
  </si>
  <si>
    <t>Margaux Makeup</t>
  </si>
  <si>
    <t>Maquillage et coiffure</t>
  </si>
  <si>
    <t>Juste samedi : forfait Signature beauté de 1250€ comprend tout : le maquillage de mariée, la coiffure de mariée, les essais et et mes déplacements / Accompagnement le samedi et changement de coiffure le soir : 550€ / Forfait maquillage invité : 150€ et coiffure : 150€ / coiffure pour mairie et frais de déplacement : 500€ / coiffure brunch et frais de déplacement : 300€</t>
  </si>
  <si>
    <r>
      <rPr>
        <u val="single"/>
        <sz val="10"/>
        <color indexed="8"/>
        <rFont val="Helvetica Neue"/>
      </rPr>
      <t>margaux.frth@gmail.com</t>
    </r>
  </si>
  <si>
    <t>Estelle Louis</t>
  </si>
  <si>
    <t>Maquillage et coiffure mairie : 100€ / Déplacement 80€ / Essai, maquillage et coiffure jour j : 550€ / Changement de coiffure : 100€ / Coiffure et maquillage invitées : 110€</t>
  </si>
  <si>
    <r>
      <rPr>
        <u val="single"/>
        <sz val="10"/>
        <color indexed="8"/>
        <rFont val="Helvetica Neue"/>
      </rPr>
      <t>estelle-louis28@hotmail.fr</t>
    </r>
  </si>
  <si>
    <t>Devis Coiffure</t>
  </si>
  <si>
    <t>Coiffure_Maquillage - Devis Coi</t>
  </si>
  <si>
    <t>Pia Paysant</t>
  </si>
  <si>
    <t>Coiffure</t>
  </si>
  <si>
    <t>essais 3 coiffures 400€ / Coiffure jour J : 250€ / Déplacement 50€ + 150€ / Changement look avant 19h : 150€ / Coiffure invitées : 90€</t>
  </si>
  <si>
    <r>
      <rPr>
        <u val="single"/>
        <sz val="10"/>
        <color indexed="8"/>
        <rFont val="Helvetica Neue"/>
      </rPr>
      <t>piapaysant@gmail.com</t>
    </r>
  </si>
  <si>
    <t>Stéphie</t>
  </si>
  <si>
    <t>Coiffure marie, mariage et bouche : 160€ x 3 = 480€ + 80€ coiffure invitées / Frais de déplacement Meaucé : 48€ et Sartrouville ou Sillé : 160€ (essais inclus ? Ajouter frais de déplacement)</t>
  </si>
  <si>
    <r>
      <rPr>
        <u val="single"/>
        <sz val="10"/>
        <color indexed="8"/>
        <rFont val="Helvetica Neue"/>
      </rPr>
      <t>stephie-coiffure@hotmail.com</t>
    </r>
  </si>
  <si>
    <t>Boutique</t>
  </si>
  <si>
    <t>Diamond Factory</t>
  </si>
  <si>
    <r>
      <rPr>
        <u val="single"/>
        <sz val="10"/>
        <color indexed="8"/>
        <rFont val="Helvetica Neue"/>
      </rPr>
      <t>https://www.diamondsfactory.fr/design/bague-demi-eternite-en-diamant-serti-griffes-clrn0530501</t>
    </r>
  </si>
  <si>
    <t>Cartier</t>
  </si>
  <si>
    <r>
      <rPr>
        <u val="single"/>
        <sz val="10"/>
        <color indexed="8"/>
        <rFont val="Helvetica Neue"/>
      </rPr>
      <t>https://www.cartier.com/fr-fr/jewellery/wedding-bands/1895/alliance-1895-largeur-2-5-mm-CRB4002300</t>
    </r>
  </si>
  <si>
    <t>Poste de dépense</t>
  </si>
  <si>
    <t>Frais de notaire</t>
  </si>
  <si>
    <t>Frais de procédure</t>
  </si>
  <si>
    <t>Demande d’acte</t>
  </si>
  <si>
    <t>Copie d’acte obligatoire</t>
  </si>
  <si>
    <t>A définir</t>
  </si>
  <si>
    <t>Asie</t>
  </si>
  <si>
    <t>Afrique</t>
  </si>
  <si>
    <t xml:space="preserve"> Cérémonie mairie</t>
  </si>
  <si>
    <t xml:space="preserve"> Cérémonie religieuse</t>
  </si>
  <si>
    <t xml:space="preserve"> Cérémonie religieuse - Budget</t>
  </si>
  <si>
    <t>Préparation au mariage Sartrouville</t>
  </si>
  <si>
    <t>Don à la paroisse</t>
  </si>
  <si>
    <t>Inscription mariage religieux Paroisse Saint Laumer</t>
  </si>
  <si>
    <t>Inscription</t>
  </si>
</sst>
</file>

<file path=xl/styles.xml><?xml version="1.0" encoding="utf-8"?>
<styleSheet xmlns="http://schemas.openxmlformats.org/spreadsheetml/2006/main">
  <numFmts count="12">
    <numFmt numFmtId="0" formatCode="General"/>
    <numFmt numFmtId="59" formatCode="ddd d mmm yyyy"/>
    <numFmt numFmtId="60" formatCode="h&quot;h&quot;mm"/>
    <numFmt numFmtId="61" formatCode="[$€-2] #,##0"/>
    <numFmt numFmtId="62" formatCode="#,##0%"/>
    <numFmt numFmtId="63" formatCode="[$€-2] #,##0.00"/>
    <numFmt numFmtId="64" formatCode="dd/mm/yyyy"/>
    <numFmt numFmtId="65" formatCode="#,##0.00&quot; €&quot;"/>
    <numFmt numFmtId="66" formatCode="[$€-2] 0.00"/>
    <numFmt numFmtId="67" formatCode="[$€-2] 0"/>
    <numFmt numFmtId="68" formatCode="[$€-2] 0.0#"/>
    <numFmt numFmtId="69" formatCode="[$€-2] 0.0"/>
  </numFmts>
  <fonts count="48">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u val="single"/>
      <sz val="10"/>
      <color indexed="8"/>
      <name val="Helvetica Neue"/>
    </font>
    <font>
      <sz val="10"/>
      <color indexed="20"/>
      <name val="Avenir Heavy"/>
    </font>
    <font>
      <sz val="10"/>
      <color indexed="20"/>
      <name val="Avenir Book"/>
    </font>
    <font>
      <u val="single"/>
      <sz val="10"/>
      <color indexed="20"/>
      <name val="Avenir Book"/>
    </font>
    <font>
      <sz val="10"/>
      <color indexed="20"/>
      <name val="Helvetica"/>
    </font>
    <font>
      <sz val="10"/>
      <color indexed="20"/>
      <name val="Helvetica Neue"/>
    </font>
    <font>
      <sz val="12"/>
      <color indexed="20"/>
      <name val="Arial"/>
    </font>
    <font>
      <sz val="10"/>
      <color indexed="20"/>
      <name val="Arial"/>
    </font>
    <font>
      <sz val="10"/>
      <color indexed="20"/>
      <name val="Helvetica"/>
    </font>
    <font>
      <sz val="10"/>
      <color indexed="20"/>
      <name val="Helvetica"/>
    </font>
    <font>
      <sz val="11"/>
      <color indexed="20"/>
      <name val="Avenir Book"/>
    </font>
    <font>
      <sz val="10"/>
      <color indexed="20"/>
      <name val="Avenir Book"/>
    </font>
    <font>
      <sz val="10"/>
      <color indexed="20"/>
      <name val="Avenir Book"/>
    </font>
    <font>
      <b val="1"/>
      <sz val="10"/>
      <color indexed="20"/>
      <name val="Arial"/>
    </font>
    <font>
      <u val="single"/>
      <sz val="10"/>
      <color indexed="20"/>
      <name val="Arial"/>
    </font>
    <font>
      <sz val="10"/>
      <color indexed="20"/>
      <name val="Avenir Book"/>
    </font>
    <font>
      <sz val="13"/>
      <color indexed="20"/>
      <name val="Helvetica Neue"/>
    </font>
    <font>
      <sz val="10"/>
      <color indexed="20"/>
      <name val="Avenir Heavy"/>
    </font>
    <font>
      <sz val="10"/>
      <color indexed="20"/>
      <name val="Helvetica"/>
    </font>
    <font>
      <sz val="9"/>
      <color indexed="8"/>
      <name val="Helvetica"/>
    </font>
    <font>
      <b val="1"/>
      <sz val="10"/>
      <color indexed="23"/>
      <name val="Helvetica Neue"/>
    </font>
    <font>
      <sz val="10"/>
      <color indexed="23"/>
      <name val="Helvetica Neue"/>
    </font>
    <font>
      <b val="1"/>
      <sz val="10"/>
      <color indexed="24"/>
      <name val="Helvetica Neue"/>
    </font>
    <font>
      <sz val="10"/>
      <color indexed="24"/>
      <name val="Helvetica Neue"/>
    </font>
    <font>
      <sz val="9"/>
      <color indexed="25"/>
      <name val="Helvetica"/>
    </font>
    <font>
      <sz val="16"/>
      <color indexed="25"/>
      <name val="Helvetica"/>
    </font>
    <font>
      <sz val="9"/>
      <color indexed="23"/>
      <name val="Helvetica"/>
    </font>
    <font>
      <sz val="9"/>
      <color indexed="24"/>
      <name val="Helvetica Neue"/>
    </font>
    <font>
      <b val="1"/>
      <sz val="9"/>
      <color indexed="8"/>
      <name val="Helvetica"/>
    </font>
    <font>
      <sz val="9"/>
      <color indexed="8"/>
      <name val="Helvetica"/>
    </font>
    <font>
      <sz val="9"/>
      <color indexed="8"/>
      <name val="Helvetica Neue"/>
    </font>
    <font>
      <u val="single"/>
      <sz val="9"/>
      <color indexed="8"/>
      <name val="Helvetica"/>
    </font>
    <font>
      <b val="1"/>
      <sz val="10"/>
      <color indexed="27"/>
      <name val="Helvetica Neue"/>
    </font>
    <font>
      <b val="1"/>
      <sz val="10"/>
      <color indexed="28"/>
      <name val="Helvetica Neue"/>
    </font>
    <font>
      <sz val="10"/>
      <color indexed="28"/>
      <name val="Helvetica Neue"/>
    </font>
    <font>
      <sz val="10"/>
      <color indexed="8"/>
      <name val="Avenir Book"/>
    </font>
    <font>
      <u val="single"/>
      <sz val="10"/>
      <color indexed="8"/>
      <name val="Avenir Book"/>
    </font>
    <font>
      <sz val="10"/>
      <color indexed="8"/>
      <name val="Helvetica"/>
    </font>
    <font>
      <b val="1"/>
      <sz val="10"/>
      <color indexed="29"/>
      <name val="Helvetica Neue"/>
    </font>
    <font>
      <b val="1"/>
      <sz val="10"/>
      <color indexed="30"/>
      <name val="Helvetica Neue"/>
    </font>
    <font>
      <sz val="10"/>
      <color indexed="30"/>
      <name val="Helvetica Neue"/>
    </font>
    <font>
      <sz val="10"/>
      <color indexed="29"/>
      <name val="Helvetica Neue"/>
    </font>
    <font>
      <u val="single"/>
      <sz val="11"/>
      <color indexed="8"/>
      <name val="Helvetica Neue"/>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22"/>
        <bgColor auto="1"/>
      </patternFill>
    </fill>
  </fills>
  <borders count="37">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4"/>
      </right>
      <top style="thin">
        <color indexed="13"/>
      </top>
      <bottom style="thin">
        <color indexed="14"/>
      </bottom>
      <diagonal/>
    </border>
    <border>
      <left style="thin">
        <color indexed="14"/>
      </left>
      <right style="thin">
        <color indexed="13"/>
      </right>
      <top style="thin">
        <color indexed="13"/>
      </top>
      <bottom style="thin">
        <color indexed="14"/>
      </bottom>
      <diagonal/>
    </border>
    <border>
      <left style="thin">
        <color indexed="21"/>
      </left>
      <right style="thin">
        <color indexed="13"/>
      </right>
      <top style="thin">
        <color indexed="21"/>
      </top>
      <bottom style="thin">
        <color indexed="14"/>
      </bottom>
      <diagonal/>
    </border>
    <border>
      <left style="thin">
        <color indexed="13"/>
      </left>
      <right style="thin">
        <color indexed="13"/>
      </right>
      <top style="thin">
        <color indexed="21"/>
      </top>
      <bottom style="thin">
        <color indexed="14"/>
      </bottom>
      <diagonal/>
    </border>
    <border>
      <left style="thin">
        <color indexed="13"/>
      </left>
      <right style="thin">
        <color indexed="21"/>
      </right>
      <top style="thin">
        <color indexed="21"/>
      </top>
      <bottom style="thin">
        <color indexed="14"/>
      </bottom>
      <diagonal/>
    </border>
    <border>
      <left style="thin">
        <color indexed="21"/>
      </left>
      <right style="thin">
        <color indexed="14"/>
      </right>
      <top style="thin">
        <color indexed="14"/>
      </top>
      <bottom style="thin">
        <color indexed="14"/>
      </bottom>
      <diagonal/>
    </border>
    <border>
      <left style="thin">
        <color indexed="14"/>
      </left>
      <right style="thin">
        <color indexed="13"/>
      </right>
      <top style="thin">
        <color indexed="14"/>
      </top>
      <bottom style="thin">
        <color indexed="14"/>
      </bottom>
      <diagonal/>
    </border>
    <border>
      <left style="thin">
        <color indexed="13"/>
      </left>
      <right style="thin">
        <color indexed="13"/>
      </right>
      <top style="thin">
        <color indexed="14"/>
      </top>
      <bottom style="thin">
        <color indexed="14"/>
      </bottom>
      <diagonal/>
    </border>
    <border>
      <left style="thin">
        <color indexed="13"/>
      </left>
      <right style="thin">
        <color indexed="21"/>
      </right>
      <top style="thin">
        <color indexed="14"/>
      </top>
      <bottom style="thin">
        <color indexed="14"/>
      </bottom>
      <diagonal/>
    </border>
    <border>
      <left style="thin">
        <color indexed="21"/>
      </left>
      <right style="thin">
        <color indexed="14"/>
      </right>
      <top style="thin">
        <color indexed="14"/>
      </top>
      <bottom style="thin">
        <color indexed="21"/>
      </bottom>
      <diagonal/>
    </border>
    <border>
      <left style="thin">
        <color indexed="14"/>
      </left>
      <right style="thin">
        <color indexed="13"/>
      </right>
      <top style="thin">
        <color indexed="14"/>
      </top>
      <bottom style="thin">
        <color indexed="21"/>
      </bottom>
      <diagonal/>
    </border>
    <border>
      <left style="thin">
        <color indexed="13"/>
      </left>
      <right style="thin">
        <color indexed="13"/>
      </right>
      <top style="thin">
        <color indexed="14"/>
      </top>
      <bottom style="thin">
        <color indexed="21"/>
      </bottom>
      <diagonal/>
    </border>
    <border>
      <left style="thin">
        <color indexed="13"/>
      </left>
      <right style="thin">
        <color indexed="21"/>
      </right>
      <top style="thin">
        <color indexed="14"/>
      </top>
      <bottom style="thin">
        <color indexed="21"/>
      </bottom>
      <diagonal/>
    </border>
    <border>
      <left style="thin">
        <color indexed="21"/>
      </left>
      <right style="thin">
        <color indexed="14"/>
      </right>
      <top style="thin">
        <color indexed="21"/>
      </top>
      <bottom style="thin">
        <color indexed="21"/>
      </bottom>
      <diagonal/>
    </border>
    <border>
      <left style="thin">
        <color indexed="14"/>
      </left>
      <right style="thin">
        <color indexed="13"/>
      </right>
      <top style="thin">
        <color indexed="21"/>
      </top>
      <bottom style="thin">
        <color indexed="21"/>
      </bottom>
      <diagonal/>
    </border>
    <border>
      <left style="thin">
        <color indexed="13"/>
      </left>
      <right style="thin">
        <color indexed="13"/>
      </right>
      <top style="thin">
        <color indexed="21"/>
      </top>
      <bottom style="thin">
        <color indexed="21"/>
      </bottom>
      <diagonal/>
    </border>
    <border>
      <left style="thin">
        <color indexed="13"/>
      </left>
      <right style="thin">
        <color indexed="21"/>
      </right>
      <top style="thin">
        <color indexed="21"/>
      </top>
      <bottom style="thin">
        <color indexed="21"/>
      </bottom>
      <diagonal/>
    </border>
    <border>
      <left style="thin">
        <color indexed="26"/>
      </left>
      <right style="thin">
        <color indexed="13"/>
      </right>
      <top style="thin">
        <color indexed="26"/>
      </top>
      <bottom style="thin">
        <color indexed="14"/>
      </bottom>
      <diagonal/>
    </border>
    <border>
      <left style="thin">
        <color indexed="13"/>
      </left>
      <right style="thin">
        <color indexed="13"/>
      </right>
      <top style="thin">
        <color indexed="26"/>
      </top>
      <bottom style="thin">
        <color indexed="14"/>
      </bottom>
      <diagonal/>
    </border>
    <border>
      <left style="thin">
        <color indexed="13"/>
      </left>
      <right style="thin">
        <color indexed="26"/>
      </right>
      <top style="thin">
        <color indexed="26"/>
      </top>
      <bottom style="thin">
        <color indexed="14"/>
      </bottom>
      <diagonal/>
    </border>
    <border>
      <left style="thin">
        <color indexed="26"/>
      </left>
      <right style="thin">
        <color indexed="14"/>
      </right>
      <top style="thin">
        <color indexed="14"/>
      </top>
      <bottom style="thin">
        <color indexed="13"/>
      </bottom>
      <diagonal/>
    </border>
    <border>
      <left style="thin">
        <color indexed="13"/>
      </left>
      <right style="thin">
        <color indexed="26"/>
      </right>
      <top style="thin">
        <color indexed="14"/>
      </top>
      <bottom style="thin">
        <color indexed="13"/>
      </bottom>
      <diagonal/>
    </border>
    <border>
      <left style="thin">
        <color indexed="26"/>
      </left>
      <right style="thin">
        <color indexed="14"/>
      </right>
      <top style="thin">
        <color indexed="13"/>
      </top>
      <bottom style="thin">
        <color indexed="13"/>
      </bottom>
      <diagonal/>
    </border>
    <border>
      <left style="thin">
        <color indexed="13"/>
      </left>
      <right style="thin">
        <color indexed="26"/>
      </right>
      <top style="thin">
        <color indexed="13"/>
      </top>
      <bottom style="thin">
        <color indexed="13"/>
      </bottom>
      <diagonal/>
    </border>
    <border>
      <left style="thin">
        <color indexed="26"/>
      </left>
      <right style="thin">
        <color indexed="14"/>
      </right>
      <top style="thin">
        <color indexed="13"/>
      </top>
      <bottom style="thin">
        <color indexed="26"/>
      </bottom>
      <diagonal/>
    </border>
    <border>
      <left style="thin">
        <color indexed="14"/>
      </left>
      <right style="thin">
        <color indexed="13"/>
      </right>
      <top style="thin">
        <color indexed="13"/>
      </top>
      <bottom style="thin">
        <color indexed="26"/>
      </bottom>
      <diagonal/>
    </border>
    <border>
      <left style="thin">
        <color indexed="13"/>
      </left>
      <right style="thin">
        <color indexed="13"/>
      </right>
      <top style="thin">
        <color indexed="13"/>
      </top>
      <bottom style="thin">
        <color indexed="26"/>
      </bottom>
      <diagonal/>
    </border>
    <border>
      <left style="thin">
        <color indexed="13"/>
      </left>
      <right style="thin">
        <color indexed="26"/>
      </right>
      <top style="thin">
        <color indexed="13"/>
      </top>
      <bottom style="thin">
        <color indexed="26"/>
      </bottom>
      <diagonal/>
    </border>
    <border>
      <left style="thin">
        <color indexed="13"/>
      </left>
      <right style="thin">
        <color indexed="14"/>
      </right>
      <top style="thin">
        <color indexed="14"/>
      </top>
      <bottom style="thin">
        <color indexed="14"/>
      </bottom>
      <diagonal/>
    </border>
  </borders>
  <cellStyleXfs count="1">
    <xf numFmtId="0" fontId="0" applyNumberFormat="0" applyFont="1" applyFill="0" applyBorder="0" applyAlignment="1" applyProtection="0">
      <alignment vertical="top" wrapText="1"/>
    </xf>
  </cellStyleXfs>
  <cellXfs count="293">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49" fontId="4" fillId="4" borderId="1" applyNumberFormat="1" applyFont="1" applyFill="1" applyBorder="1" applyAlignment="1" applyProtection="0">
      <alignment horizontal="center" vertical="center"/>
    </xf>
    <xf numFmtId="49" fontId="4" fillId="5" borderId="2" applyNumberFormat="1" applyFont="1" applyFill="1" applyBorder="1" applyAlignment="1" applyProtection="0">
      <alignment horizontal="center" vertical="center"/>
    </xf>
    <xf numFmtId="59" fontId="0" borderId="3" applyNumberFormat="1" applyFont="1" applyFill="0" applyBorder="1" applyAlignment="1" applyProtection="0">
      <alignment horizontal="center" vertical="center"/>
    </xf>
    <xf numFmtId="49" fontId="0" borderId="4" applyNumberFormat="1" applyFont="1" applyFill="0" applyBorder="1" applyAlignment="1" applyProtection="0">
      <alignment horizontal="center" vertical="center"/>
    </xf>
    <xf numFmtId="49" fontId="4" fillId="5" borderId="5" applyNumberFormat="1" applyFont="1" applyFill="1" applyBorder="1" applyAlignment="1" applyProtection="0">
      <alignment horizontal="center" vertical="center"/>
    </xf>
    <xf numFmtId="59" fontId="0" borderId="6" applyNumberFormat="1" applyFont="1" applyFill="0" applyBorder="1" applyAlignment="1" applyProtection="0">
      <alignment horizontal="center" vertical="center"/>
    </xf>
    <xf numFmtId="49" fontId="0" borderId="7" applyNumberFormat="1" applyFont="1" applyFill="0" applyBorder="1" applyAlignment="1" applyProtection="0">
      <alignment horizontal="center" vertical="center"/>
    </xf>
    <xf numFmtId="49" fontId="4" fillId="5" borderId="5" applyNumberFormat="1" applyFont="1" applyFill="1" applyBorder="1" applyAlignment="1" applyProtection="0">
      <alignment horizontal="center" vertical="center" wrapText="1"/>
    </xf>
    <xf numFmtId="59" fontId="0" borderId="6" applyNumberFormat="1" applyFont="1" applyFill="0" applyBorder="1" applyAlignment="1" applyProtection="0">
      <alignment horizontal="center" vertical="center" wrapText="1"/>
    </xf>
    <xf numFmtId="49" fontId="0" borderId="7" applyNumberFormat="1" applyFont="1" applyFill="0" applyBorder="1" applyAlignment="1" applyProtection="0">
      <alignment horizontal="center" vertical="center" wrapText="1"/>
    </xf>
    <xf numFmtId="0" fontId="4" fillId="5" borderId="5" applyNumberFormat="0" applyFont="1" applyFill="1" applyBorder="1" applyAlignment="1" applyProtection="0">
      <alignment horizontal="center" vertical="center" wrapText="1"/>
    </xf>
    <xf numFmtId="0" fontId="0" borderId="6" applyNumberFormat="0" applyFont="1" applyFill="0" applyBorder="1" applyAlignment="1" applyProtection="0">
      <alignment horizontal="center" vertical="center" wrapText="1"/>
    </xf>
    <xf numFmtId="0" fontId="0" borderId="7" applyNumberFormat="0" applyFont="1" applyFill="0" applyBorder="1" applyAlignment="1" applyProtection="0">
      <alignment horizontal="center" vertical="center" wrapText="1"/>
    </xf>
    <xf numFmtId="0" fontId="0" borderId="7" applyNumberFormat="0" applyFont="1" applyFill="0" applyBorder="1" applyAlignment="1" applyProtection="0">
      <alignment horizontal="center" vertical="center"/>
    </xf>
    <xf numFmtId="0" fontId="4" fillId="5" borderId="8" applyNumberFormat="0" applyFont="1" applyFill="1" applyBorder="1" applyAlignment="1" applyProtection="0">
      <alignment horizontal="center" vertical="center" wrapText="1"/>
    </xf>
    <xf numFmtId="0" fontId="0" borderId="9" applyNumberFormat="0" applyFont="1" applyFill="0" applyBorder="1" applyAlignment="1" applyProtection="0">
      <alignment horizontal="center" vertical="center" wrapText="1"/>
    </xf>
    <xf numFmtId="0" fontId="0" borderId="1" applyNumberFormat="0" applyFont="1" applyFill="0" applyBorder="1" applyAlignment="1" applyProtection="0">
      <alignment horizontal="center" vertical="center" wrapText="1"/>
    </xf>
    <xf numFmtId="0" fontId="0" borderId="1" applyNumberFormat="0" applyFont="1" applyFill="0" applyBorder="1" applyAlignment="1" applyProtection="0">
      <alignment horizontal="center" vertical="center"/>
    </xf>
    <xf numFmtId="49" fontId="4" borderId="4" applyNumberFormat="1" applyFont="1" applyFill="0" applyBorder="1" applyAlignment="1" applyProtection="0">
      <alignment horizontal="center" vertical="center"/>
    </xf>
    <xf numFmtId="0" fontId="4" borderId="4" applyNumberFormat="1" applyFont="1" applyFill="0" applyBorder="1" applyAlignment="1" applyProtection="0">
      <alignment horizontal="center" vertical="center"/>
    </xf>
    <xf numFmtId="49" fontId="4" borderId="4" applyNumberFormat="1" applyFont="1" applyFill="0" applyBorder="1" applyAlignment="1" applyProtection="0">
      <alignment horizontal="center" vertical="center" wrapText="1"/>
    </xf>
    <xf numFmtId="9" fontId="4" borderId="4" applyNumberFormat="1" applyFont="1" applyFill="0" applyBorder="1" applyAlignment="1" applyProtection="0">
      <alignment horizontal="center" vertical="center"/>
    </xf>
    <xf numFmtId="0" fontId="0" applyNumberFormat="1" applyFont="1" applyFill="0" applyBorder="0" applyAlignment="1" applyProtection="0">
      <alignment vertical="top" wrapText="1"/>
    </xf>
    <xf numFmtId="49" fontId="4" fillId="4" borderId="7" applyNumberFormat="1" applyFont="1" applyFill="1" applyBorder="1" applyAlignment="1" applyProtection="0">
      <alignment horizontal="center" vertical="center" wrapText="1"/>
    </xf>
    <xf numFmtId="0" fontId="4" fillId="4" borderId="7" applyNumberFormat="0" applyFont="1" applyFill="1" applyBorder="1" applyAlignment="1" applyProtection="0">
      <alignment vertical="top" wrapText="1"/>
    </xf>
    <xf numFmtId="49" fontId="4" fillId="4" borderId="1" applyNumberFormat="1" applyFont="1" applyFill="1" applyBorder="1" applyAlignment="1" applyProtection="0">
      <alignment horizontal="center" vertical="center" wrapText="1"/>
    </xf>
    <xf numFmtId="49" fontId="4" fillId="5" borderId="2" applyNumberFormat="1" applyFont="1" applyFill="1" applyBorder="1" applyAlignment="1" applyProtection="0">
      <alignment horizontal="center" vertical="center" wrapText="1"/>
    </xf>
    <xf numFmtId="49" fontId="0" borderId="3" applyNumberFormat="1" applyFont="1" applyFill="0" applyBorder="1" applyAlignment="1" applyProtection="0">
      <alignment horizontal="center" vertical="top" wrapText="1"/>
    </xf>
    <xf numFmtId="49" fontId="0" borderId="4" applyNumberFormat="1" applyFont="1" applyFill="0" applyBorder="1" applyAlignment="1" applyProtection="0">
      <alignment horizontal="center" vertical="top" wrapText="1"/>
    </xf>
    <xf numFmtId="0" fontId="0" borderId="4" applyNumberFormat="0" applyFont="1" applyFill="0" applyBorder="1" applyAlignment="1" applyProtection="0">
      <alignment horizontal="center" vertical="top" wrapText="1"/>
    </xf>
    <xf numFmtId="0" fontId="4" fillId="5" borderId="5" applyNumberFormat="0" applyFont="1" applyFill="1" applyBorder="1" applyAlignment="1" applyProtection="0">
      <alignment vertical="top" wrapText="1"/>
    </xf>
    <xf numFmtId="49" fontId="0" borderId="6" applyNumberFormat="1" applyFont="1" applyFill="0" applyBorder="1" applyAlignment="1" applyProtection="0">
      <alignment horizontal="center" vertical="top" wrapText="1"/>
    </xf>
    <xf numFmtId="49" fontId="0" borderId="7" applyNumberFormat="1" applyFont="1" applyFill="0" applyBorder="1" applyAlignment="1" applyProtection="0">
      <alignment horizontal="center" vertical="top" wrapText="1"/>
    </xf>
    <xf numFmtId="0" fontId="0" borderId="7" applyNumberFormat="0" applyFont="1" applyFill="0" applyBorder="1" applyAlignment="1" applyProtection="0">
      <alignment horizontal="center" vertical="top" wrapText="1"/>
    </xf>
    <xf numFmtId="60" fontId="0" borderId="6" applyNumberFormat="1" applyFont="1" applyFill="0" applyBorder="1" applyAlignment="1" applyProtection="0">
      <alignment horizontal="center" vertical="top" wrapText="1"/>
    </xf>
    <xf numFmtId="60" fontId="0" borderId="7" applyNumberFormat="1" applyFont="1" applyFill="0" applyBorder="1" applyAlignment="1" applyProtection="0">
      <alignment horizontal="center" vertical="top" wrapText="1"/>
    </xf>
    <xf numFmtId="0" fontId="0" borderId="7"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wrapText="1"/>
    </xf>
    <xf numFmtId="49" fontId="4" fillId="5" borderId="2" applyNumberFormat="1" applyFont="1" applyFill="1" applyBorder="1" applyAlignment="1" applyProtection="0">
      <alignment vertical="top" wrapText="1"/>
    </xf>
    <xf numFmtId="61" fontId="0" borderId="3" applyNumberFormat="1" applyFont="1" applyFill="0" applyBorder="1" applyAlignment="1" applyProtection="0">
      <alignment horizontal="center" vertical="center" wrapText="1"/>
    </xf>
    <xf numFmtId="61" fontId="0" borderId="4" applyNumberFormat="1" applyFont="1" applyFill="0" applyBorder="1" applyAlignment="1" applyProtection="0">
      <alignment horizontal="center" vertical="center" wrapText="1"/>
    </xf>
    <xf numFmtId="62" fontId="0" borderId="4" applyNumberFormat="1" applyFont="1" applyFill="0" applyBorder="1" applyAlignment="1" applyProtection="0">
      <alignment horizontal="center" vertical="center" wrapText="1"/>
    </xf>
    <xf numFmtId="63" fontId="0" borderId="4" applyNumberFormat="1" applyFont="1" applyFill="0" applyBorder="1" applyAlignment="1" applyProtection="0">
      <alignment horizontal="center" vertical="center" wrapText="1"/>
    </xf>
    <xf numFmtId="49" fontId="4" fillId="5" borderId="5" applyNumberFormat="1" applyFont="1" applyFill="1" applyBorder="1" applyAlignment="1" applyProtection="0">
      <alignment vertical="top" wrapText="1"/>
    </xf>
    <xf numFmtId="61" fontId="0" borderId="6" applyNumberFormat="1" applyFont="1" applyFill="0" applyBorder="1" applyAlignment="1" applyProtection="0">
      <alignment horizontal="center" vertical="center" wrapText="1"/>
    </xf>
    <xf numFmtId="61" fontId="0" borderId="7" applyNumberFormat="1" applyFont="1" applyFill="0" applyBorder="1" applyAlignment="1" applyProtection="0">
      <alignment horizontal="center" vertical="center" wrapText="1"/>
    </xf>
    <xf numFmtId="62" fontId="0" borderId="7" applyNumberFormat="1" applyFont="1" applyFill="0" applyBorder="1" applyAlignment="1" applyProtection="0">
      <alignment horizontal="center" vertical="center" wrapText="1"/>
    </xf>
    <xf numFmtId="63" fontId="0" borderId="7" applyNumberFormat="1" applyFont="1" applyFill="0" applyBorder="1" applyAlignment="1" applyProtection="0">
      <alignment horizontal="center" vertical="center" wrapText="1"/>
    </xf>
    <xf numFmtId="49" fontId="4" fillId="5" borderId="8" applyNumberFormat="1" applyFont="1" applyFill="1" applyBorder="1" applyAlignment="1" applyProtection="0">
      <alignment vertical="top" wrapText="1"/>
    </xf>
    <xf numFmtId="61" fontId="0" borderId="9" applyNumberFormat="1" applyFont="1" applyFill="0" applyBorder="1" applyAlignment="1" applyProtection="0">
      <alignment horizontal="center" vertical="center" wrapText="1"/>
    </xf>
    <xf numFmtId="61" fontId="0" borderId="1" applyNumberFormat="1" applyFont="1" applyFill="0" applyBorder="1" applyAlignment="1" applyProtection="0">
      <alignment horizontal="center" vertical="center" wrapText="1"/>
    </xf>
    <xf numFmtId="62" fontId="0" borderId="1" applyNumberFormat="1" applyFont="1" applyFill="0" applyBorder="1" applyAlignment="1" applyProtection="0">
      <alignment horizontal="center" vertical="center" wrapText="1"/>
    </xf>
    <xf numFmtId="63" fontId="0" borderId="1" applyNumberFormat="1" applyFont="1" applyFill="0" applyBorder="1" applyAlignment="1" applyProtection="0">
      <alignment horizontal="center" vertical="center" wrapText="1"/>
    </xf>
    <xf numFmtId="49" fontId="4" borderId="4" applyNumberFormat="1" applyFont="1" applyFill="0" applyBorder="1" applyAlignment="1" applyProtection="0">
      <alignment vertical="top" wrapText="1"/>
    </xf>
    <xf numFmtId="61" fontId="4" borderId="4" applyNumberFormat="1" applyFont="1" applyFill="0" applyBorder="1" applyAlignment="1" applyProtection="0">
      <alignment horizontal="center" vertical="center" wrapText="1"/>
    </xf>
    <xf numFmtId="62" fontId="4" borderId="4"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49" fontId="4" fillId="5" borderId="4" applyNumberFormat="1" applyFont="1" applyFill="1" applyBorder="1" applyAlignment="1" applyProtection="0">
      <alignment horizontal="center" vertical="center" wrapText="1"/>
    </xf>
    <xf numFmtId="64" fontId="0" borderId="3" applyNumberFormat="1" applyFont="1" applyFill="0" applyBorder="1" applyAlignment="1" applyProtection="0">
      <alignment horizontal="center" vertical="center" wrapText="1"/>
    </xf>
    <xf numFmtId="49" fontId="0" borderId="4" applyNumberFormat="1" applyFont="1" applyFill="0" applyBorder="1" applyAlignment="1" applyProtection="0">
      <alignment horizontal="center" vertical="center" wrapText="1"/>
    </xf>
    <xf numFmtId="49" fontId="4" fillId="5" borderId="7" applyNumberFormat="1" applyFont="1" applyFill="1" applyBorder="1" applyAlignment="1" applyProtection="0">
      <alignment horizontal="center" vertical="center" wrapText="1"/>
    </xf>
    <xf numFmtId="64" fontId="0" borderId="6" applyNumberFormat="1" applyFont="1" applyFill="0" applyBorder="1" applyAlignment="1" applyProtection="0">
      <alignment horizontal="center" vertical="center" wrapText="1"/>
    </xf>
    <xf numFmtId="0" fontId="4" fillId="5" borderId="7" applyNumberFormat="0" applyFont="1" applyFill="1" applyBorder="1" applyAlignment="1" applyProtection="0">
      <alignment horizontal="center" vertical="center" wrapText="1"/>
    </xf>
    <xf numFmtId="0" fontId="4" fillId="5" borderId="1" applyNumberFormat="0" applyFont="1" applyFill="1" applyBorder="1" applyAlignment="1" applyProtection="0">
      <alignment horizontal="center" vertical="center" wrapText="1"/>
    </xf>
    <xf numFmtId="64" fontId="0" borderId="9" applyNumberFormat="1" applyFont="1" applyFill="0" applyBorder="1" applyAlignment="1" applyProtection="0">
      <alignment horizontal="center" vertical="center" wrapText="1"/>
    </xf>
    <xf numFmtId="0" fontId="4" borderId="4" applyNumberFormat="0" applyFont="1" applyFill="0" applyBorder="1" applyAlignment="1" applyProtection="0">
      <alignment horizontal="center" vertical="center" wrapText="1"/>
    </xf>
    <xf numFmtId="0" fontId="4" borderId="4" applyNumberFormat="0" applyFont="1" applyFill="0" applyBorder="1" applyAlignment="1" applyProtection="0">
      <alignment vertical="top" wrapText="1"/>
    </xf>
    <xf numFmtId="63" fontId="4" borderId="4"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49" fontId="4" fillId="5" borderId="1" applyNumberFormat="1" applyFont="1" applyFill="1" applyBorder="1" applyAlignment="1" applyProtection="0">
      <alignment horizontal="center" vertical="center" wrapText="1"/>
    </xf>
    <xf numFmtId="0" fontId="4" fillId="4" borderId="1" applyNumberFormat="0" applyFont="1" applyFill="1" applyBorder="1" applyAlignment="1" applyProtection="0">
      <alignment vertical="top" wrapText="1"/>
    </xf>
    <xf numFmtId="49" fontId="0" borderId="3" applyNumberFormat="1" applyFont="1" applyFill="0" applyBorder="1" applyAlignment="1" applyProtection="0">
      <alignment horizontal="center" vertical="center" wrapText="1"/>
    </xf>
    <xf numFmtId="0" fontId="0" borderId="4" applyNumberFormat="0" applyFont="1" applyFill="0" applyBorder="1" applyAlignment="1" applyProtection="0">
      <alignment horizontal="center" vertical="center" wrapText="1"/>
    </xf>
    <xf numFmtId="0" fontId="0" borderId="4" applyNumberFormat="1" applyFont="1" applyFill="0" applyBorder="1" applyAlignment="1" applyProtection="0">
      <alignment horizontal="center" vertical="center" wrapText="1"/>
    </xf>
    <xf numFmtId="49" fontId="0" borderId="6" applyNumberFormat="1" applyFont="1" applyFill="0" applyBorder="1" applyAlignment="1" applyProtection="0">
      <alignment horizontal="center" vertical="center" wrapText="1"/>
    </xf>
    <xf numFmtId="0" fontId="0" borderId="7" applyNumberFormat="1" applyFont="1" applyFill="0" applyBorder="1" applyAlignment="1" applyProtection="0">
      <alignment horizontal="center" vertical="center" wrapText="1"/>
    </xf>
    <xf numFmtId="49" fontId="4" fillId="5" borderId="8" applyNumberFormat="1" applyFont="1" applyFill="1" applyBorder="1" applyAlignment="1" applyProtection="0">
      <alignment horizontal="center" vertical="center" wrapText="1"/>
    </xf>
    <xf numFmtId="49" fontId="0" borderId="9" applyNumberFormat="1" applyFont="1" applyFill="0" applyBorder="1" applyAlignment="1" applyProtection="0">
      <alignment horizontal="center" vertical="center" wrapText="1"/>
    </xf>
    <xf numFmtId="49" fontId="0" borderId="1" applyNumberFormat="1" applyFont="1" applyFill="0" applyBorder="1" applyAlignment="1" applyProtection="0">
      <alignment horizontal="center" vertical="center" wrapText="1"/>
    </xf>
    <xf numFmtId="0" fontId="0" borderId="1" applyNumberFormat="1" applyFont="1" applyFill="0" applyBorder="1" applyAlignment="1" applyProtection="0">
      <alignment horizontal="center" vertical="center" wrapText="1"/>
    </xf>
    <xf numFmtId="0" fontId="4" borderId="4" applyNumberFormat="0" applyFont="1" applyFill="0" applyBorder="1" applyAlignment="1" applyProtection="0">
      <alignment horizontal="center" vertical="top" wrapText="1"/>
    </xf>
    <xf numFmtId="0" fontId="4" borderId="4" applyNumberFormat="1" applyFont="1" applyFill="0" applyBorder="1" applyAlignment="1" applyProtection="0">
      <alignment horizontal="center" vertical="top" wrapText="1"/>
    </xf>
    <xf numFmtId="0" fontId="0" applyNumberFormat="1" applyFont="1" applyFill="0" applyBorder="0" applyAlignment="1" applyProtection="0">
      <alignment vertical="top" wrapText="1"/>
    </xf>
    <xf numFmtId="49" fontId="4" fillId="4" borderId="2" applyNumberFormat="1" applyFont="1" applyFill="1" applyBorder="1" applyAlignment="1" applyProtection="0">
      <alignment vertical="top" wrapText="1"/>
    </xf>
    <xf numFmtId="0" fontId="0" fillId="4" borderId="3" applyNumberFormat="0" applyFont="1" applyFill="1" applyBorder="1" applyAlignment="1" applyProtection="0">
      <alignment horizontal="center" vertical="center" wrapText="1"/>
    </xf>
    <xf numFmtId="0" fontId="0" borderId="4" applyNumberFormat="0" applyFont="1" applyFill="0" applyBorder="1" applyAlignment="1" applyProtection="0">
      <alignment vertical="top" wrapText="1"/>
    </xf>
    <xf numFmtId="0" fontId="0" fillId="5" borderId="5" applyNumberFormat="1" applyFont="1" applyFill="1" applyBorder="1" applyAlignment="1" applyProtection="0">
      <alignment horizontal="center" vertical="center" wrapText="1"/>
    </xf>
    <xf numFmtId="49" fontId="4" fillId="4" borderId="5" applyNumberFormat="1" applyFont="1" applyFill="1" applyBorder="1" applyAlignment="1" applyProtection="0">
      <alignment vertical="top" wrapText="1"/>
    </xf>
    <xf numFmtId="0" fontId="0" fillId="4" borderId="6" applyNumberFormat="0" applyFont="1" applyFill="1" applyBorder="1" applyAlignment="1" applyProtection="0">
      <alignment horizontal="center" vertical="center" wrapText="1"/>
    </xf>
    <xf numFmtId="0" fontId="0" applyNumberFormat="1" applyFont="1" applyFill="0" applyBorder="0" applyAlignment="1" applyProtection="0">
      <alignment vertical="top" wrapText="1"/>
    </xf>
    <xf numFmtId="0" fontId="0" fillId="4" borderId="4" applyNumberFormat="0" applyFont="1" applyFill="1" applyBorder="1" applyAlignment="1" applyProtection="0">
      <alignment horizontal="center" vertical="center" wrapText="1"/>
    </xf>
    <xf numFmtId="0" fontId="0" fillId="4" borderId="7" applyNumberFormat="0" applyFont="1" applyFill="1" applyBorder="1" applyAlignment="1" applyProtection="0">
      <alignment horizontal="center" vertical="center"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6" fillId="4" borderId="10" applyNumberFormat="1" applyFont="1" applyFill="1" applyBorder="1" applyAlignment="1" applyProtection="0">
      <alignment horizontal="center" vertical="center"/>
    </xf>
    <xf numFmtId="49" fontId="6" fillId="4" borderId="11" applyNumberFormat="1" applyFont="1" applyFill="1" applyBorder="1" applyAlignment="1" applyProtection="0">
      <alignment horizontal="center" vertical="center"/>
    </xf>
    <xf numFmtId="49" fontId="6" fillId="4" borderId="12" applyNumberFormat="1" applyFont="1" applyFill="1" applyBorder="1" applyAlignment="1" applyProtection="0">
      <alignment horizontal="center" vertical="center"/>
    </xf>
    <xf numFmtId="49" fontId="6" fillId="5" borderId="13" applyNumberFormat="1" applyFont="1" applyFill="1" applyBorder="1" applyAlignment="1" applyProtection="0">
      <alignment horizontal="center" vertical="center" wrapText="1"/>
    </xf>
    <xf numFmtId="0" fontId="7" borderId="14" applyNumberFormat="1" applyFont="1" applyFill="0" applyBorder="1" applyAlignment="1" applyProtection="0">
      <alignment horizontal="center" vertical="center" wrapText="1"/>
    </xf>
    <xf numFmtId="0" fontId="7" borderId="15" applyNumberFormat="1" applyFont="1" applyFill="0" applyBorder="1" applyAlignment="1" applyProtection="0">
      <alignment horizontal="center" vertical="center" wrapText="1"/>
    </xf>
    <xf numFmtId="49" fontId="7" borderId="15" applyNumberFormat="1" applyFont="1" applyFill="0" applyBorder="1" applyAlignment="1" applyProtection="0">
      <alignment horizontal="center" vertical="center" wrapText="1"/>
    </xf>
    <xf numFmtId="4" fontId="7" borderId="15" applyNumberFormat="1" applyFont="1" applyFill="0" applyBorder="1" applyAlignment="1" applyProtection="0">
      <alignment horizontal="center" vertical="center" wrapText="1"/>
    </xf>
    <xf numFmtId="61" fontId="7" borderId="15" applyNumberFormat="1" applyFont="1" applyFill="0" applyBorder="1" applyAlignment="1" applyProtection="0">
      <alignment horizontal="center" vertical="center" wrapText="1"/>
    </xf>
    <xf numFmtId="61" fontId="9" borderId="15" applyNumberFormat="1" applyFont="1" applyFill="0" applyBorder="1" applyAlignment="1" applyProtection="0">
      <alignment horizontal="center" vertical="center" wrapText="1"/>
    </xf>
    <xf numFmtId="3" fontId="7" borderId="15" applyNumberFormat="1" applyFont="1" applyFill="0" applyBorder="1" applyAlignment="1" applyProtection="0">
      <alignment horizontal="center" vertical="center" wrapText="1"/>
    </xf>
    <xf numFmtId="0" fontId="7" borderId="16" applyNumberFormat="1" applyFont="1" applyFill="0" applyBorder="1" applyAlignment="1" applyProtection="0">
      <alignment horizontal="center" vertical="center" wrapText="1"/>
    </xf>
    <xf numFmtId="49" fontId="6" fillId="5" borderId="17" applyNumberFormat="1" applyFont="1" applyFill="1" applyBorder="1" applyAlignment="1" applyProtection="0">
      <alignment horizontal="center" vertical="center" wrapText="1"/>
    </xf>
    <xf numFmtId="0" fontId="7" borderId="18" applyNumberFormat="1" applyFont="1" applyFill="0" applyBorder="1" applyAlignment="1" applyProtection="0">
      <alignment horizontal="center" vertical="center" wrapText="1"/>
    </xf>
    <xf numFmtId="0" fontId="7" borderId="19" applyNumberFormat="1" applyFont="1" applyFill="0" applyBorder="1" applyAlignment="1" applyProtection="0">
      <alignment horizontal="center" vertical="center" wrapText="1"/>
    </xf>
    <xf numFmtId="49" fontId="7" borderId="19" applyNumberFormat="1" applyFont="1" applyFill="0" applyBorder="1" applyAlignment="1" applyProtection="0">
      <alignment horizontal="center" vertical="center" wrapText="1"/>
    </xf>
    <xf numFmtId="4" fontId="7" borderId="19" applyNumberFormat="1" applyFont="1" applyFill="0" applyBorder="1" applyAlignment="1" applyProtection="0">
      <alignment horizontal="center" vertical="center" wrapText="1"/>
    </xf>
    <xf numFmtId="61" fontId="7" borderId="19" applyNumberFormat="1" applyFont="1" applyFill="0" applyBorder="1" applyAlignment="1" applyProtection="0">
      <alignment horizontal="center" vertical="center" wrapText="1"/>
    </xf>
    <xf numFmtId="61" fontId="9" borderId="19" applyNumberFormat="1" applyFont="1" applyFill="0" applyBorder="1" applyAlignment="1" applyProtection="0">
      <alignment horizontal="center" vertical="center" wrapText="1"/>
    </xf>
    <xf numFmtId="3" fontId="7" borderId="19" applyNumberFormat="1" applyFont="1" applyFill="0" applyBorder="1" applyAlignment="1" applyProtection="0">
      <alignment horizontal="center" vertical="center" wrapText="1"/>
    </xf>
    <xf numFmtId="0" fontId="7" borderId="20" applyNumberFormat="1" applyFont="1" applyFill="0" applyBorder="1" applyAlignment="1" applyProtection="0">
      <alignment horizontal="center" vertical="center" wrapText="1"/>
    </xf>
    <xf numFmtId="49" fontId="6" fillId="5" borderId="21" applyNumberFormat="1" applyFont="1" applyFill="1" applyBorder="1" applyAlignment="1" applyProtection="0">
      <alignment horizontal="center" vertical="center" wrapText="1"/>
    </xf>
    <xf numFmtId="0" fontId="7" borderId="22" applyNumberFormat="1" applyFont="1" applyFill="0" applyBorder="1" applyAlignment="1" applyProtection="0">
      <alignment horizontal="center" vertical="center" wrapText="1"/>
    </xf>
    <xf numFmtId="0" fontId="7" borderId="23" applyNumberFormat="1" applyFont="1" applyFill="0" applyBorder="1" applyAlignment="1" applyProtection="0">
      <alignment horizontal="center" vertical="center" wrapText="1"/>
    </xf>
    <xf numFmtId="49" fontId="7" borderId="23" applyNumberFormat="1" applyFont="1" applyFill="0" applyBorder="1" applyAlignment="1" applyProtection="0">
      <alignment horizontal="center" vertical="center" wrapText="1"/>
    </xf>
    <xf numFmtId="4" fontId="7" borderId="23" applyNumberFormat="1" applyFont="1" applyFill="0" applyBorder="1" applyAlignment="1" applyProtection="0">
      <alignment horizontal="center" vertical="center" wrapText="1"/>
    </xf>
    <xf numFmtId="61" fontId="7" borderId="23" applyNumberFormat="1" applyFont="1" applyFill="0" applyBorder="1" applyAlignment="1" applyProtection="0">
      <alignment horizontal="center" vertical="center" wrapText="1"/>
    </xf>
    <xf numFmtId="61" fontId="9" borderId="23" applyNumberFormat="1" applyFont="1" applyFill="0" applyBorder="1" applyAlignment="1" applyProtection="0">
      <alignment horizontal="center" vertical="center" wrapText="1"/>
    </xf>
    <xf numFmtId="3" fontId="7" borderId="23" applyNumberFormat="1" applyFont="1" applyFill="0" applyBorder="1" applyAlignment="1" applyProtection="0">
      <alignment horizontal="center" vertical="center" wrapText="1"/>
    </xf>
    <xf numFmtId="49" fontId="9" borderId="23" applyNumberFormat="1" applyFont="1" applyFill="0" applyBorder="1" applyAlignment="1" applyProtection="0">
      <alignment horizontal="center" vertical="center" wrapText="1"/>
    </xf>
    <xf numFmtId="0" fontId="7" borderId="24" applyNumberFormat="1" applyFont="1" applyFill="0" applyBorder="1" applyAlignment="1" applyProtection="0">
      <alignment horizontal="center" vertical="center" wrapText="1"/>
    </xf>
    <xf numFmtId="49" fontId="10" borderId="23" applyNumberFormat="1" applyFont="1" applyFill="0" applyBorder="1" applyAlignment="1" applyProtection="0">
      <alignment horizontal="center" vertical="center" wrapText="1"/>
    </xf>
    <xf numFmtId="0" fontId="7" borderId="23" applyNumberFormat="0" applyFont="1" applyFill="0" applyBorder="1" applyAlignment="1" applyProtection="0">
      <alignment horizontal="center" vertical="center" wrapText="1"/>
    </xf>
    <xf numFmtId="61" fontId="7" borderId="23" applyNumberFormat="1" applyFont="1" applyFill="0" applyBorder="1" applyAlignment="1" applyProtection="0">
      <alignment horizontal="center" vertical="center"/>
    </xf>
    <xf numFmtId="61" fontId="10" borderId="23" applyNumberFormat="1" applyFont="1" applyFill="0" applyBorder="1" applyAlignment="1" applyProtection="0">
      <alignment horizontal="center" vertical="center" wrapText="1"/>
    </xf>
    <xf numFmtId="61" fontId="10" borderId="23" applyNumberFormat="1" applyFont="1" applyFill="0" applyBorder="1" applyAlignment="1" applyProtection="0">
      <alignment horizontal="center" vertical="center"/>
    </xf>
    <xf numFmtId="61" fontId="11" borderId="23" applyNumberFormat="1" applyFont="1" applyFill="0" applyBorder="1" applyAlignment="1" applyProtection="0">
      <alignment horizontal="center" vertical="center" wrapText="1"/>
    </xf>
    <xf numFmtId="49" fontId="12" borderId="23" applyNumberFormat="1" applyFont="1" applyFill="0" applyBorder="1" applyAlignment="1" applyProtection="0">
      <alignment horizontal="center" vertical="center" wrapText="1"/>
    </xf>
    <xf numFmtId="49" fontId="13" borderId="23" applyNumberFormat="1" applyFont="1" applyFill="0" applyBorder="1" applyAlignment="1" applyProtection="0">
      <alignment horizontal="center" vertical="center" wrapText="1"/>
    </xf>
    <xf numFmtId="49" fontId="15" borderId="23" applyNumberFormat="1" applyFont="1" applyFill="0" applyBorder="1" applyAlignment="1" applyProtection="0">
      <alignment horizontal="center" vertical="center" wrapText="1"/>
    </xf>
    <xf numFmtId="49" fontId="16" borderId="23" applyNumberFormat="1" applyFont="1" applyFill="0" applyBorder="1" applyAlignment="1" applyProtection="0">
      <alignment horizontal="center" vertical="center" wrapText="1"/>
    </xf>
    <xf numFmtId="49" fontId="17" borderId="23" applyNumberFormat="1" applyFont="1" applyFill="0" applyBorder="1" applyAlignment="1" applyProtection="0">
      <alignment horizontal="center" vertical="center" wrapText="1"/>
    </xf>
    <xf numFmtId="49" fontId="18" fillId="5" borderId="21" applyNumberFormat="1" applyFont="1" applyFill="1" applyBorder="1" applyAlignment="1" applyProtection="0">
      <alignment horizontal="center" vertical="center" wrapText="1"/>
    </xf>
    <xf numFmtId="0" fontId="12" borderId="22" applyNumberFormat="1" applyFont="1" applyFill="0" applyBorder="1" applyAlignment="1" applyProtection="0">
      <alignment horizontal="center" vertical="center" wrapText="1"/>
    </xf>
    <xf numFmtId="0" fontId="12" borderId="23" applyNumberFormat="1" applyFont="1" applyFill="0" applyBorder="1" applyAlignment="1" applyProtection="0">
      <alignment horizontal="center" vertical="center" wrapText="1"/>
    </xf>
    <xf numFmtId="4" fontId="12" borderId="23" applyNumberFormat="1" applyFont="1" applyFill="0" applyBorder="1" applyAlignment="1" applyProtection="0">
      <alignment horizontal="center" vertical="center" wrapText="1"/>
    </xf>
    <xf numFmtId="0" fontId="17" borderId="23" applyNumberFormat="0" applyFont="1" applyFill="0" applyBorder="1" applyAlignment="1" applyProtection="0">
      <alignment horizontal="center" vertical="center" wrapText="1"/>
    </xf>
    <xf numFmtId="49" fontId="20" borderId="23" applyNumberFormat="1" applyFont="1" applyFill="0" applyBorder="1" applyAlignment="1" applyProtection="0">
      <alignment horizontal="center" vertical="center" wrapText="1"/>
    </xf>
    <xf numFmtId="61" fontId="21" borderId="23" applyNumberFormat="1" applyFont="1" applyFill="0" applyBorder="1" applyAlignment="1" applyProtection="0">
      <alignment horizontal="center" vertical="center" wrapText="1"/>
    </xf>
    <xf numFmtId="49" fontId="22" borderId="23" applyNumberFormat="1" applyFont="1" applyFill="0" applyBorder="1" applyAlignment="1" applyProtection="0">
      <alignment horizontal="center" vertical="center" wrapText="1"/>
    </xf>
    <xf numFmtId="61" fontId="23" borderId="23" applyNumberFormat="1" applyFont="1" applyFill="0" applyBorder="1" applyAlignment="1" applyProtection="0">
      <alignment horizontal="center" vertical="center" wrapText="1"/>
    </xf>
    <xf numFmtId="0" fontId="7" borderId="23" applyNumberFormat="0" applyFont="1" applyFill="0" applyBorder="1" applyAlignment="1" applyProtection="0">
      <alignment horizontal="center" vertical="center"/>
    </xf>
    <xf numFmtId="0" fontId="6" fillId="5" borderId="21" applyNumberFormat="0" applyFont="1" applyFill="1" applyBorder="1" applyAlignment="1" applyProtection="0">
      <alignment horizontal="center" vertical="center" wrapText="1"/>
    </xf>
    <xf numFmtId="0" fontId="0" applyNumberFormat="1" applyFont="1" applyFill="0" applyBorder="0" applyAlignment="1" applyProtection="0">
      <alignment vertical="top" wrapText="1"/>
    </xf>
    <xf numFmtId="63" fontId="4" borderId="3" applyNumberFormat="1" applyFont="1" applyFill="0" applyBorder="1" applyAlignment="1" applyProtection="0">
      <alignment horizontal="center" vertical="center" wrapText="1"/>
    </xf>
    <xf numFmtId="49" fontId="0" fillId="5" borderId="5" applyNumberFormat="1" applyFont="1" applyFill="1" applyBorder="1" applyAlignment="1" applyProtection="0">
      <alignment vertical="top" wrapText="1"/>
    </xf>
    <xf numFmtId="63" fontId="0" borderId="6" applyNumberFormat="1" applyFont="1" applyFill="0" applyBorder="1" applyAlignment="1" applyProtection="0">
      <alignment horizontal="center" vertical="center" wrapText="1"/>
    </xf>
    <xf numFmtId="63" fontId="4" borderId="6" applyNumberFormat="1" applyFont="1" applyFill="0" applyBorder="1" applyAlignment="1" applyProtection="0">
      <alignment horizontal="center" vertical="center" wrapText="1"/>
    </xf>
    <xf numFmtId="63" fontId="4" borderId="7" applyNumberFormat="1" applyFont="1" applyFill="0" applyBorder="1" applyAlignment="1" applyProtection="0">
      <alignment horizontal="center" vertical="center" wrapText="1"/>
    </xf>
    <xf numFmtId="49" fontId="4" borderId="7" applyNumberFormat="1" applyFont="1" applyFill="0" applyBorder="1" applyAlignment="1" applyProtection="0">
      <alignment horizontal="center" vertical="center" wrapText="1"/>
    </xf>
    <xf numFmtId="49" fontId="24" borderId="7" applyNumberFormat="1" applyFont="1" applyFill="0" applyBorder="1" applyAlignment="1" applyProtection="0">
      <alignment horizontal="center" vertical="center" wrapText="1"/>
    </xf>
    <xf numFmtId="49" fontId="0" fillId="5" borderId="8" applyNumberFormat="1" applyFont="1" applyFill="1" applyBorder="1" applyAlignment="1" applyProtection="0">
      <alignment vertical="top" wrapText="1"/>
    </xf>
    <xf numFmtId="63" fontId="0" borderId="9"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49" fontId="4" fillId="6" borderId="2" applyNumberFormat="1" applyFont="1" applyFill="1" applyBorder="1" applyAlignment="1" applyProtection="0">
      <alignment vertical="top" wrapText="1"/>
    </xf>
    <xf numFmtId="0" fontId="0" fillId="6" borderId="3" applyNumberFormat="0" applyFont="1" applyFill="1" applyBorder="1" applyAlignment="1" applyProtection="0">
      <alignment horizontal="center" vertical="center" wrapText="1"/>
    </xf>
    <xf numFmtId="0" fontId="0" fillId="6" borderId="4" applyNumberFormat="0" applyFont="1" applyFill="1" applyBorder="1" applyAlignment="1" applyProtection="0">
      <alignment horizontal="center" vertical="center" wrapText="1"/>
    </xf>
    <xf numFmtId="65" fontId="4" fillId="6" borderId="4" applyNumberFormat="1" applyFont="1" applyFill="1" applyBorder="1" applyAlignment="1" applyProtection="0">
      <alignment horizontal="center" vertical="center" wrapText="1"/>
    </xf>
    <xf numFmtId="3" fontId="0" borderId="7" applyNumberFormat="1" applyFont="1" applyFill="0" applyBorder="1" applyAlignment="1" applyProtection="0">
      <alignment horizontal="center" vertical="center" wrapText="1"/>
    </xf>
    <xf numFmtId="66" fontId="0" borderId="7" applyNumberFormat="1" applyFont="1" applyFill="0" applyBorder="1" applyAlignment="1" applyProtection="0">
      <alignment horizontal="center" vertical="center" wrapText="1"/>
    </xf>
    <xf numFmtId="49" fontId="4" fillId="6" borderId="5" applyNumberFormat="1" applyFont="1" applyFill="1" applyBorder="1" applyAlignment="1" applyProtection="0">
      <alignment vertical="top" wrapText="1"/>
    </xf>
    <xf numFmtId="0" fontId="0" fillId="6" borderId="6" applyNumberFormat="0" applyFont="1" applyFill="1" applyBorder="1" applyAlignment="1" applyProtection="0">
      <alignment horizontal="center" vertical="center" wrapText="1"/>
    </xf>
    <xf numFmtId="0" fontId="0" fillId="6" borderId="7" applyNumberFormat="0" applyFont="1" applyFill="1" applyBorder="1" applyAlignment="1" applyProtection="0">
      <alignment horizontal="center" vertical="center" wrapText="1"/>
    </xf>
    <xf numFmtId="65" fontId="4" fillId="6" borderId="7" applyNumberFormat="1" applyFont="1" applyFill="1" applyBorder="1" applyAlignment="1" applyProtection="0">
      <alignment horizontal="center" vertical="center" wrapText="1"/>
    </xf>
    <xf numFmtId="4" fontId="0" borderId="7" applyNumberFormat="1" applyFont="1" applyFill="0" applyBorder="1" applyAlignment="1" applyProtection="0">
      <alignment horizontal="center" vertical="center" wrapText="1"/>
    </xf>
    <xf numFmtId="3" fontId="0" borderId="1" applyNumberFormat="1" applyFont="1" applyFill="0" applyBorder="1" applyAlignment="1" applyProtection="0">
      <alignment horizontal="center" vertical="center" wrapText="1"/>
    </xf>
    <xf numFmtId="66" fontId="0" borderId="1" applyNumberFormat="1" applyFont="1" applyFill="0" applyBorder="1" applyAlignment="1" applyProtection="0">
      <alignment horizontal="center" vertical="center" wrapText="1"/>
    </xf>
    <xf numFmtId="3" fontId="4" borderId="4" applyNumberFormat="1" applyFont="1" applyFill="0" applyBorder="1" applyAlignment="1" applyProtection="0">
      <alignment horizontal="center" vertical="center" wrapText="1"/>
    </xf>
    <xf numFmtId="66" fontId="4" borderId="4"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49" fontId="25" fillId="5" borderId="5" applyNumberFormat="1" applyFont="1" applyFill="1" applyBorder="1" applyAlignment="1" applyProtection="0">
      <alignment horizontal="center" vertical="center" wrapText="1"/>
    </xf>
    <xf numFmtId="49" fontId="26" borderId="6" applyNumberFormat="1" applyFont="1" applyFill="0" applyBorder="1" applyAlignment="1" applyProtection="0">
      <alignment horizontal="center" vertical="center" wrapText="1"/>
    </xf>
    <xf numFmtId="61" fontId="26" borderId="7" applyNumberFormat="1" applyFont="1" applyFill="0" applyBorder="1" applyAlignment="1" applyProtection="0">
      <alignment horizontal="center" vertical="center" wrapText="1"/>
    </xf>
    <xf numFmtId="49" fontId="26" borderId="7" applyNumberFormat="1" applyFont="1" applyFill="0" applyBorder="1" applyAlignment="1" applyProtection="0">
      <alignment horizontal="center" vertical="center" wrapText="1"/>
    </xf>
    <xf numFmtId="0" fontId="26" borderId="7" applyNumberFormat="0" applyFont="1" applyFill="0" applyBorder="1" applyAlignment="1" applyProtection="0">
      <alignment horizontal="center" vertical="center" wrapText="1"/>
    </xf>
    <xf numFmtId="49" fontId="27" fillId="5" borderId="5" applyNumberFormat="1" applyFont="1" applyFill="1" applyBorder="1" applyAlignment="1" applyProtection="0">
      <alignment horizontal="center" vertical="center" wrapText="1"/>
    </xf>
    <xf numFmtId="49" fontId="28" borderId="6" applyNumberFormat="1" applyFont="1" applyFill="0" applyBorder="1" applyAlignment="1" applyProtection="0">
      <alignment horizontal="center" vertical="center" wrapText="1"/>
    </xf>
    <xf numFmtId="61" fontId="28" borderId="7" applyNumberFormat="1" applyFont="1" applyFill="0" applyBorder="1" applyAlignment="1" applyProtection="0">
      <alignment horizontal="center" vertical="center" wrapText="1"/>
    </xf>
    <xf numFmtId="49" fontId="28" borderId="7" applyNumberFormat="1" applyFont="1" applyFill="0" applyBorder="1" applyAlignment="1" applyProtection="0">
      <alignment horizontal="center" vertical="center" wrapText="1"/>
    </xf>
    <xf numFmtId="0" fontId="28" borderId="7" applyNumberFormat="0" applyFont="1" applyFill="0" applyBorder="1" applyAlignment="1" applyProtection="0">
      <alignment horizontal="center" vertical="center" wrapText="1"/>
    </xf>
    <xf numFmtId="49" fontId="29" borderId="7" applyNumberFormat="1" applyFont="1" applyFill="0" applyBorder="1" applyAlignment="1" applyProtection="0">
      <alignment horizontal="left" vertical="center" wrapText="1"/>
    </xf>
    <xf numFmtId="0" fontId="30" borderId="7" applyNumberFormat="0" applyFont="1" applyFill="0" applyBorder="1" applyAlignment="1" applyProtection="0">
      <alignment horizontal="left" vertical="center" wrapText="1"/>
    </xf>
    <xf numFmtId="49" fontId="31" borderId="7" applyNumberFormat="1" applyFont="1" applyFill="0" applyBorder="1" applyAlignment="1" applyProtection="0">
      <alignment horizontal="left" vertical="center" wrapText="1"/>
    </xf>
    <xf numFmtId="49" fontId="32" borderId="7" applyNumberFormat="1" applyFont="1" applyFill="0" applyBorder="1" applyAlignment="1" applyProtection="0">
      <alignment horizontal="left" vertical="center" wrapText="1"/>
    </xf>
    <xf numFmtId="49" fontId="35" borderId="7"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49" fontId="4" fillId="4" borderId="25" applyNumberFormat="1" applyFont="1" applyFill="1" applyBorder="1" applyAlignment="1" applyProtection="0">
      <alignment horizontal="center" vertical="center" wrapText="1"/>
    </xf>
    <xf numFmtId="49" fontId="4" fillId="4" borderId="26" applyNumberFormat="1" applyFont="1" applyFill="1" applyBorder="1" applyAlignment="1" applyProtection="0">
      <alignment horizontal="center" vertical="center" wrapText="1"/>
    </xf>
    <xf numFmtId="49" fontId="4" fillId="4" borderId="27" applyNumberFormat="1" applyFont="1" applyFill="1" applyBorder="1" applyAlignment="1" applyProtection="0">
      <alignment horizontal="center" vertical="center" wrapText="1"/>
    </xf>
    <xf numFmtId="49" fontId="4" fillId="5" borderId="28" applyNumberFormat="1" applyFont="1" applyFill="1" applyBorder="1" applyAlignment="1" applyProtection="0">
      <alignment horizontal="center" vertical="center" wrapText="1"/>
    </xf>
    <xf numFmtId="49" fontId="0" borderId="4" applyNumberFormat="1" applyFont="1" applyFill="0" applyBorder="1" applyAlignment="1" applyProtection="0">
      <alignment horizontal="center" vertical="center" indent="4" wrapText="1"/>
    </xf>
    <xf numFmtId="49" fontId="0" borderId="29" applyNumberFormat="1" applyFont="1" applyFill="0" applyBorder="1" applyAlignment="1" applyProtection="0">
      <alignment horizontal="center" vertical="center" wrapText="1"/>
    </xf>
    <xf numFmtId="49" fontId="4" fillId="5" borderId="30" applyNumberFormat="1" applyFont="1" applyFill="1" applyBorder="1" applyAlignment="1" applyProtection="0">
      <alignment horizontal="center" vertical="center" wrapText="1"/>
    </xf>
    <xf numFmtId="49" fontId="0" borderId="7" applyNumberFormat="1" applyFont="1" applyFill="0" applyBorder="1" applyAlignment="1" applyProtection="0">
      <alignment horizontal="center" vertical="center" indent="4" wrapText="1"/>
    </xf>
    <xf numFmtId="49" fontId="0" borderId="31" applyNumberFormat="1" applyFont="1" applyFill="0" applyBorder="1" applyAlignment="1" applyProtection="0">
      <alignment horizontal="center" vertical="center" wrapText="1"/>
    </xf>
    <xf numFmtId="49" fontId="37" fillId="5" borderId="30" applyNumberFormat="1" applyFont="1" applyFill="1" applyBorder="1" applyAlignment="1" applyProtection="0">
      <alignment horizontal="center" vertical="center" wrapText="1"/>
    </xf>
    <xf numFmtId="49" fontId="5" borderId="31" applyNumberFormat="1" applyFont="1" applyFill="0" applyBorder="1" applyAlignment="1" applyProtection="0">
      <alignment horizontal="left" vertical="center" wrapText="1"/>
    </xf>
    <xf numFmtId="49" fontId="4" fillId="5" borderId="32" applyNumberFormat="1" applyFont="1" applyFill="1" applyBorder="1" applyAlignment="1" applyProtection="0">
      <alignment horizontal="center" vertical="center" wrapText="1"/>
    </xf>
    <xf numFmtId="49" fontId="0" borderId="33" applyNumberFormat="1" applyFont="1" applyFill="0" applyBorder="1" applyAlignment="1" applyProtection="0">
      <alignment horizontal="center" vertical="center" wrapText="1"/>
    </xf>
    <xf numFmtId="61" fontId="0" borderId="34" applyNumberFormat="1" applyFont="1" applyFill="0" applyBorder="1" applyAlignment="1" applyProtection="0">
      <alignment horizontal="center" vertical="center" wrapText="1"/>
    </xf>
    <xf numFmtId="0" fontId="0" borderId="34" applyNumberFormat="0" applyFont="1" applyFill="0" applyBorder="1" applyAlignment="1" applyProtection="0">
      <alignment horizontal="center" vertical="center" wrapText="1"/>
    </xf>
    <xf numFmtId="49" fontId="5" borderId="35" applyNumberFormat="1" applyFont="1" applyFill="0" applyBorder="1" applyAlignment="1" applyProtection="0">
      <alignment horizontal="left" vertical="center" wrapText="1"/>
    </xf>
    <xf numFmtId="0" fontId="0" applyNumberFormat="1" applyFont="1" applyFill="0" applyBorder="0" applyAlignment="1" applyProtection="0">
      <alignment vertical="top" wrapText="1"/>
    </xf>
    <xf numFmtId="0" fontId="0" borderId="3" applyNumberFormat="1" applyFont="1" applyFill="0" applyBorder="1" applyAlignment="1" applyProtection="0">
      <alignment horizontal="center" vertical="center" wrapText="1"/>
    </xf>
    <xf numFmtId="0" fontId="0" borderId="6" applyNumberFormat="1" applyFont="1" applyFill="0" applyBorder="1" applyAlignment="1" applyProtection="0">
      <alignment horizontal="center" vertical="center" wrapText="1"/>
    </xf>
    <xf numFmtId="0" fontId="0" borderId="9" applyNumberFormat="1" applyFont="1" applyFill="0" applyBorder="1" applyAlignment="1" applyProtection="0">
      <alignment horizontal="center" vertical="center" wrapText="1"/>
    </xf>
    <xf numFmtId="0" fontId="4" borderId="4"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4" fillId="5" borderId="36" applyNumberFormat="1" applyFont="1" applyFill="1" applyBorder="1" applyAlignment="1" applyProtection="0">
      <alignment horizontal="center" vertical="center" wrapText="1"/>
    </xf>
    <xf numFmtId="0" fontId="0" borderId="14" applyNumberFormat="1" applyFont="1" applyFill="0" applyBorder="1" applyAlignment="1" applyProtection="0">
      <alignment horizontal="center" vertical="center" wrapText="1"/>
    </xf>
    <xf numFmtId="49" fontId="0" borderId="15"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49" fontId="4" fillId="5" borderId="5" applyNumberFormat="1" applyFont="1" applyFill="1" applyBorder="1" applyAlignment="1" applyProtection="0">
      <alignment horizontal="center" vertical="top" wrapText="1"/>
    </xf>
    <xf numFmtId="49" fontId="4" fillId="5" borderId="8" applyNumberFormat="1" applyFont="1" applyFill="1" applyBorder="1" applyAlignment="1" applyProtection="0">
      <alignment horizontal="center" vertical="top" wrapText="1"/>
    </xf>
    <xf numFmtId="0" fontId="0" applyNumberFormat="1" applyFont="1" applyFill="0" applyBorder="0" applyAlignment="1" applyProtection="0">
      <alignment vertical="top" wrapText="1"/>
    </xf>
    <xf numFmtId="0" fontId="0" borderId="3" applyNumberFormat="0" applyFont="1" applyFill="0" applyBorder="1" applyAlignment="1" applyProtection="0">
      <alignment horizontal="center" vertical="center" wrapText="1"/>
    </xf>
    <xf numFmtId="0" fontId="0" applyNumberFormat="1" applyFont="1" applyFill="0" applyBorder="0" applyAlignment="1" applyProtection="0">
      <alignment vertical="top" wrapText="1"/>
    </xf>
    <xf numFmtId="0" fontId="4" fillId="5" borderId="2" applyNumberFormat="0" applyFont="1" applyFill="1" applyBorder="1" applyAlignment="1" applyProtection="0">
      <alignment vertical="top" wrapText="1"/>
    </xf>
    <xf numFmtId="0" fontId="0" borderId="3" applyNumberFormat="0" applyFont="1" applyFill="0" applyBorder="1" applyAlignment="1" applyProtection="0">
      <alignment vertical="top" wrapText="1"/>
    </xf>
    <xf numFmtId="0" fontId="0" borderId="6"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4" fillId="5" borderId="2" applyNumberFormat="1" applyFont="1" applyFill="1" applyBorder="1" applyAlignment="1" applyProtection="0">
      <alignment horizontal="left" vertical="center" wrapText="1"/>
    </xf>
    <xf numFmtId="0" fontId="0" applyNumberFormat="1" applyFont="1" applyFill="0" applyBorder="0" applyAlignment="1" applyProtection="0">
      <alignment vertical="top" wrapText="1"/>
    </xf>
    <xf numFmtId="49" fontId="38" fillId="5" borderId="5" applyNumberFormat="1" applyFont="1" applyFill="1" applyBorder="1" applyAlignment="1" applyProtection="0">
      <alignment horizontal="center" vertical="center" wrapText="1"/>
    </xf>
    <xf numFmtId="49" fontId="39" borderId="6" applyNumberFormat="1" applyFont="1" applyFill="0" applyBorder="1" applyAlignment="1" applyProtection="0">
      <alignment horizontal="center" vertical="center" wrapText="1"/>
    </xf>
    <xf numFmtId="61" fontId="39" borderId="7"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0" fontId="4" fillId="4" borderId="1" applyNumberFormat="0" applyFont="1" applyFill="1" applyBorder="1" applyAlignment="1" applyProtection="0">
      <alignment horizontal="center" vertical="top" wrapText="1"/>
    </xf>
    <xf numFmtId="61" fontId="0" fillId="4" borderId="3" applyNumberFormat="1" applyFont="1" applyFill="1" applyBorder="1" applyAlignment="1" applyProtection="0">
      <alignment horizontal="center" vertical="center" wrapText="1"/>
    </xf>
    <xf numFmtId="61" fontId="0" borderId="6" applyNumberFormat="1" applyFont="1" applyFill="0" applyBorder="1" applyAlignment="1" applyProtection="0">
      <alignment horizontal="center" vertical="top" wrapText="1"/>
    </xf>
    <xf numFmtId="61" fontId="0" fillId="4" borderId="6" applyNumberFormat="1" applyFont="1" applyFill="1" applyBorder="1" applyAlignment="1" applyProtection="0">
      <alignment horizontal="center" vertical="center" wrapText="1"/>
    </xf>
    <xf numFmtId="0" fontId="0" applyNumberFormat="1" applyFont="1" applyFill="0" applyBorder="0" applyAlignment="1" applyProtection="0">
      <alignment vertical="top" wrapText="1"/>
    </xf>
    <xf numFmtId="0" fontId="4" fillId="4" borderId="1" applyNumberFormat="0" applyFont="1" applyFill="1" applyBorder="1" applyAlignment="1" applyProtection="0">
      <alignment horizontal="center" vertical="center" wrapText="1"/>
    </xf>
    <xf numFmtId="0" fontId="0" applyNumberFormat="1" applyFont="1" applyFill="0" applyBorder="0" applyAlignment="1" applyProtection="0">
      <alignment vertical="top" wrapText="1"/>
    </xf>
    <xf numFmtId="67" fontId="0" borderId="3" applyNumberFormat="1" applyFont="1" applyFill="0" applyBorder="1" applyAlignment="1" applyProtection="0">
      <alignment horizontal="center" vertical="center" wrapText="1"/>
    </xf>
    <xf numFmtId="67" fontId="0" borderId="4" applyNumberFormat="1" applyFont="1" applyFill="0" applyBorder="1" applyAlignment="1" applyProtection="0">
      <alignment horizontal="center" vertical="center" wrapText="1"/>
    </xf>
    <xf numFmtId="68" fontId="0" borderId="6" applyNumberFormat="1" applyFont="1" applyFill="0" applyBorder="1" applyAlignment="1" applyProtection="0">
      <alignment horizontal="center" vertical="center" wrapText="1"/>
    </xf>
    <xf numFmtId="69" fontId="0" borderId="7" applyNumberFormat="1" applyFont="1" applyFill="0" applyBorder="1" applyAlignment="1" applyProtection="0">
      <alignment horizontal="center" vertical="center" wrapText="1"/>
    </xf>
    <xf numFmtId="67" fontId="0" borderId="6" applyNumberFormat="1" applyFont="1" applyFill="0" applyBorder="1" applyAlignment="1" applyProtection="0">
      <alignment horizontal="center" vertical="center" wrapText="1"/>
    </xf>
    <xf numFmtId="67" fontId="0" borderId="7" applyNumberFormat="1" applyFont="1" applyFill="0" applyBorder="1" applyAlignment="1" applyProtection="0">
      <alignment horizontal="center" vertical="center" wrapText="1"/>
    </xf>
    <xf numFmtId="0" fontId="4" fillId="5" borderId="8" applyNumberFormat="0" applyFont="1" applyFill="1" applyBorder="1" applyAlignment="1" applyProtection="0">
      <alignment vertical="top" wrapText="1"/>
    </xf>
    <xf numFmtId="67" fontId="0" borderId="9" applyNumberFormat="1" applyFont="1" applyFill="0" applyBorder="1" applyAlignment="1" applyProtection="0">
      <alignment horizontal="center" vertical="center" wrapText="1"/>
    </xf>
    <xf numFmtId="67" fontId="0" borderId="1" applyNumberFormat="1" applyFont="1" applyFill="0" applyBorder="1" applyAlignment="1" applyProtection="0">
      <alignment horizontal="center" vertical="center" wrapText="1"/>
    </xf>
    <xf numFmtId="67" fontId="4" borderId="4" applyNumberFormat="1" applyFont="1" applyFill="0" applyBorder="1" applyAlignment="1" applyProtection="0">
      <alignment horizontal="center" vertical="center" wrapText="1"/>
    </xf>
    <xf numFmtId="69" fontId="4" borderId="4"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49" fontId="40" borderId="2" applyNumberFormat="1" applyFont="1" applyFill="0" applyBorder="1" applyAlignment="1" applyProtection="0">
      <alignment horizontal="center" vertical="center" wrapText="1"/>
    </xf>
    <xf numFmtId="49" fontId="40" borderId="3" applyNumberFormat="1" applyFont="1" applyFill="0" applyBorder="1" applyAlignment="1" applyProtection="0">
      <alignment horizontal="center" vertical="center" wrapText="1"/>
    </xf>
    <xf numFmtId="61" fontId="40" borderId="4" applyNumberFormat="1" applyFont="1" applyFill="0" applyBorder="1" applyAlignment="1" applyProtection="0">
      <alignment horizontal="center" vertical="center" wrapText="1"/>
    </xf>
    <xf numFmtId="0" fontId="40" borderId="4" applyNumberFormat="0" applyFont="1" applyFill="0" applyBorder="1" applyAlignment="1" applyProtection="0">
      <alignment horizontal="center" vertical="center" wrapText="1"/>
    </xf>
    <xf numFmtId="49" fontId="40" borderId="4" applyNumberFormat="1" applyFont="1" applyFill="0" applyBorder="1" applyAlignment="1" applyProtection="0">
      <alignment horizontal="center" vertical="center" wrapText="1"/>
    </xf>
    <xf numFmtId="49" fontId="40" borderId="5" applyNumberFormat="1" applyFont="1" applyFill="0" applyBorder="1" applyAlignment="1" applyProtection="0">
      <alignment horizontal="center" vertical="center" wrapText="1"/>
    </xf>
    <xf numFmtId="49" fontId="40" borderId="6" applyNumberFormat="1" applyFont="1" applyFill="0" applyBorder="1" applyAlignment="1" applyProtection="0">
      <alignment horizontal="center" vertical="center" wrapText="1"/>
    </xf>
    <xf numFmtId="61" fontId="40" borderId="7" applyNumberFormat="1" applyFont="1" applyFill="0" applyBorder="1" applyAlignment="1" applyProtection="0">
      <alignment horizontal="center" vertical="center" wrapText="1"/>
    </xf>
    <xf numFmtId="0" fontId="40" borderId="7" applyNumberFormat="0" applyFont="1" applyFill="0" applyBorder="1" applyAlignment="1" applyProtection="0">
      <alignment horizontal="center" vertical="center" wrapText="1"/>
    </xf>
    <xf numFmtId="49" fontId="40" borderId="7"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49" fontId="42" borderId="7" applyNumberFormat="1" applyFont="1" applyFill="0" applyBorder="1" applyAlignment="1" applyProtection="0">
      <alignment horizontal="center" vertical="center" wrapText="1"/>
    </xf>
    <xf numFmtId="49" fontId="43" fillId="5" borderId="5" applyNumberFormat="1" applyFont="1" applyFill="1" applyBorder="1" applyAlignment="1" applyProtection="0">
      <alignment horizontal="center" vertical="center" wrapText="1"/>
    </xf>
    <xf numFmtId="49" fontId="44" fillId="5" borderId="5" applyNumberFormat="1" applyFont="1" applyFill="1" applyBorder="1" applyAlignment="1" applyProtection="0">
      <alignment horizontal="center" vertical="center" wrapText="1"/>
    </xf>
    <xf numFmtId="49" fontId="45" borderId="6" applyNumberFormat="1" applyFont="1" applyFill="0" applyBorder="1" applyAlignment="1" applyProtection="0">
      <alignment horizontal="center" vertical="center" wrapText="1"/>
    </xf>
    <xf numFmtId="61" fontId="45" borderId="7"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49" fontId="43" fillId="5" borderId="2" applyNumberFormat="1" applyFont="1" applyFill="1" applyBorder="1" applyAlignment="1" applyProtection="0">
      <alignment horizontal="center" vertical="center" wrapText="1"/>
    </xf>
    <xf numFmtId="49" fontId="46" borderId="3" applyNumberFormat="1" applyFont="1" applyFill="0" applyBorder="1" applyAlignment="1" applyProtection="0">
      <alignment horizontal="center" vertical="center" wrapText="1"/>
    </xf>
    <xf numFmtId="49" fontId="42" borderId="4" applyNumberFormat="1" applyFont="1" applyFill="0" applyBorder="1" applyAlignment="1" applyProtection="0">
      <alignment horizontal="center" vertical="center" wrapText="1"/>
    </xf>
    <xf numFmtId="49" fontId="46" borderId="6"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49" fontId="4" fillId="4" borderId="1" applyNumberFormat="1" applyFont="1" applyFill="1" applyBorder="1" applyAlignment="1" applyProtection="0">
      <alignment horizontal="center" vertical="top" wrapText="1"/>
    </xf>
    <xf numFmtId="0" fontId="0" applyNumberFormat="1" applyFont="1" applyFill="0" applyBorder="0" applyAlignment="1" applyProtection="0">
      <alignment vertical="top" wrapText="1"/>
    </xf>
    <xf numFmtId="61" fontId="4" borderId="4" applyNumberFormat="1" applyFont="1" applyFill="0" applyBorder="1" applyAlignment="1" applyProtection="0">
      <alignment horizontal="center"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66" fontId="0" borderId="3" applyNumberFormat="1" applyFont="1" applyFill="0" applyBorder="1" applyAlignment="1" applyProtection="0">
      <alignment horizontal="center" vertical="center" wrapText="1"/>
    </xf>
    <xf numFmtId="66" fontId="0" borderId="6" applyNumberFormat="1" applyFont="1" applyFill="0" applyBorder="1" applyAlignment="1" applyProtection="0">
      <alignment horizontal="center" vertical="center" wrapText="1"/>
    </xf>
    <xf numFmtId="66" fontId="4" borderId="6" applyNumberFormat="1" applyFont="1" applyFill="0" applyBorder="1" applyAlignment="1" applyProtection="0">
      <alignment horizontal="center" vertical="center" wrapText="1"/>
    </xf>
  </cellXfs>
  <cellStyles count="1">
    <cellStyle name="Normal" xfId="0" builtinId="0"/>
  </cellStyles>
  <dxfs count="17">
    <dxf>
      <font>
        <color rgb="ff000000"/>
      </font>
      <fill>
        <patternFill patternType="solid">
          <fgColor indexed="16"/>
          <bgColor indexed="17"/>
        </patternFill>
      </fill>
    </dxf>
    <dxf>
      <font>
        <color rgb="ff000000"/>
      </font>
      <fill>
        <patternFill patternType="solid">
          <fgColor indexed="16"/>
          <bgColor indexed="18"/>
        </patternFill>
      </fill>
    </dxf>
    <dxf>
      <font>
        <color rgb="ff000000"/>
      </font>
      <fill>
        <patternFill patternType="solid">
          <fgColor indexed="16"/>
          <bgColor indexed="19"/>
        </patternFill>
      </fill>
    </dxf>
    <dxf>
      <font>
        <color rgb="ff000000"/>
      </font>
      <fill>
        <patternFill patternType="solid">
          <fgColor indexed="16"/>
          <bgColor indexed="17"/>
        </patternFill>
      </fill>
    </dxf>
    <dxf>
      <font>
        <color rgb="ff000000"/>
      </font>
      <fill>
        <patternFill patternType="solid">
          <fgColor indexed="16"/>
          <bgColor indexed="19"/>
        </patternFill>
      </fill>
    </dxf>
    <dxf>
      <font>
        <color rgb="ff000000"/>
      </font>
      <fill>
        <patternFill patternType="solid">
          <fgColor indexed="16"/>
          <bgColor indexed="17"/>
        </patternFill>
      </fill>
    </dxf>
    <dxf>
      <font>
        <color rgb="ff000000"/>
      </font>
      <fill>
        <patternFill patternType="solid">
          <fgColor indexed="16"/>
          <bgColor indexed="19"/>
        </patternFill>
      </fill>
    </dxf>
    <dxf>
      <font>
        <color rgb="ff000000"/>
      </font>
      <fill>
        <patternFill patternType="solid">
          <fgColor indexed="16"/>
          <bgColor indexed="17"/>
        </patternFill>
      </fill>
    </dxf>
    <dxf>
      <font>
        <color rgb="ff000000"/>
      </font>
      <fill>
        <patternFill patternType="solid">
          <fgColor indexed="16"/>
          <bgColor indexed="17"/>
        </patternFill>
      </fill>
    </dxf>
    <dxf>
      <font>
        <color rgb="ff000000"/>
      </font>
      <fill>
        <patternFill patternType="solid">
          <fgColor indexed="16"/>
          <bgColor indexed="17"/>
        </patternFill>
      </fill>
    </dxf>
    <dxf>
      <font>
        <color rgb="ff000000"/>
      </font>
      <fill>
        <patternFill patternType="solid">
          <fgColor indexed="16"/>
          <bgColor indexed="19"/>
        </patternFill>
      </fill>
    </dxf>
    <dxf>
      <font>
        <color rgb="ff000000"/>
      </font>
      <fill>
        <patternFill patternType="solid">
          <fgColor indexed="16"/>
          <bgColor indexed="18"/>
        </patternFill>
      </fill>
    </dxf>
    <dxf>
      <font>
        <color rgb="ff000000"/>
      </font>
      <fill>
        <patternFill patternType="solid">
          <fgColor indexed="16"/>
          <bgColor indexed="17"/>
        </patternFill>
      </fill>
    </dxf>
    <dxf>
      <font>
        <color rgb="ff000000"/>
      </font>
      <fill>
        <patternFill patternType="solid">
          <fgColor indexed="16"/>
          <bgColor indexed="18"/>
        </patternFill>
      </fill>
    </dxf>
    <dxf>
      <font>
        <color rgb="ff000000"/>
      </font>
      <fill>
        <patternFill patternType="solid">
          <fgColor indexed="16"/>
          <bgColor indexed="19"/>
        </patternFill>
      </fill>
    </dxf>
    <dxf>
      <font>
        <color rgb="ff000000"/>
      </font>
      <fill>
        <patternFill patternType="solid">
          <fgColor indexed="16"/>
          <bgColor indexed="17"/>
        </patternFill>
      </fill>
    </dxf>
    <dxf>
      <font>
        <color rgb="ff000000"/>
      </font>
      <fill>
        <patternFill patternType="solid">
          <fgColor indexed="16"/>
          <bgColor indexed="19"/>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00000000"/>
      <rgbColor rgb="e5afe489"/>
      <rgbColor rgb="e5ffd38a"/>
      <rgbColor rgb="e5ff9781"/>
      <rgbColor rgb="ff040406"/>
      <rgbColor rgb="ffaeafb3"/>
      <rgbColor rgb="ffbec0bf"/>
      <rgbColor rgb="ffa62c17"/>
      <rgbColor rgb="ffb41700"/>
      <rgbColor rgb="ff212121"/>
      <rgbColor rgb="ffb9cdef"/>
      <rgbColor rgb="ff3970d2"/>
      <rgbColor rgb="ffff42a1"/>
      <rgbColor rgb="ff000200"/>
      <rgbColor rgb="ffff13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 Id="rId23" Type="http://schemas.openxmlformats.org/officeDocument/2006/relationships/worksheet" Target="worksheets/sheet19.xml"/><Relationship Id="rId24" Type="http://schemas.openxmlformats.org/officeDocument/2006/relationships/worksheet" Target="worksheets/sheet20.xml"/><Relationship Id="rId25" Type="http://schemas.openxmlformats.org/officeDocument/2006/relationships/worksheet" Target="worksheets/sheet21.xml"/><Relationship Id="rId26" Type="http://schemas.openxmlformats.org/officeDocument/2006/relationships/worksheet" Target="worksheets/sheet22.xml"/><Relationship Id="rId27" Type="http://schemas.openxmlformats.org/officeDocument/2006/relationships/worksheet" Target="worksheets/sheet23.xml"/><Relationship Id="rId28" Type="http://schemas.openxmlformats.org/officeDocument/2006/relationships/worksheet" Target="worksheets/sheet24.xml"/><Relationship Id="rId29" Type="http://schemas.openxmlformats.org/officeDocument/2006/relationships/worksheet" Target="worksheets/sheet25.xml"/><Relationship Id="rId30" Type="http://schemas.openxmlformats.org/officeDocument/2006/relationships/worksheet" Target="worksheets/sheet26.xml"/><Relationship Id="rId31" Type="http://schemas.openxmlformats.org/officeDocument/2006/relationships/worksheet" Target="worksheets/sheet27.xml"/><Relationship Id="rId32" Type="http://schemas.openxmlformats.org/officeDocument/2006/relationships/worksheet" Target="worksheets/sheet28.xml"/><Relationship Id="rId33" Type="http://schemas.openxmlformats.org/officeDocument/2006/relationships/worksheet" Target="worksheets/sheet29.xml"/><Relationship Id="rId34" Type="http://schemas.openxmlformats.org/officeDocument/2006/relationships/worksheet" Target="worksheets/sheet30.xml"/><Relationship Id="rId35" Type="http://schemas.openxmlformats.org/officeDocument/2006/relationships/worksheet" Target="worksheets/sheet31.xml"/><Relationship Id="rId36" Type="http://schemas.openxmlformats.org/officeDocument/2006/relationships/worksheet" Target="worksheets/sheet32.xml"/><Relationship Id="rId37" Type="http://schemas.openxmlformats.org/officeDocument/2006/relationships/worksheet" Target="worksheets/sheet33.xml"/><Relationship Id="rId38" Type="http://schemas.openxmlformats.org/officeDocument/2006/relationships/worksheet" Target="worksheets/sheet34.xml"/><Relationship Id="rId39" Type="http://schemas.openxmlformats.org/officeDocument/2006/relationships/worksheet" Target="worksheets/sheet35.xml"/></Relationships>

</file>

<file path=xl/drawings/_rels/drawing1.xml.rels><?xml version="1.0" encoding="UTF-8"?>
<Relationships xmlns="http://schemas.openxmlformats.org/package/2006/relationships"><Relationship Id="rId1" Type="http://schemas.openxmlformats.org/officeDocument/2006/relationships/hyperlink" Target="https://paris.notaires.fr/sites/default/files/regimes_matrinmoniaux_contrats_de_mariage_mai_2014.pdf" TargetMode="Externa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477696</xdr:colOff>
      <xdr:row>2</xdr:row>
      <xdr:rowOff>23838</xdr:rowOff>
    </xdr:from>
    <xdr:to>
      <xdr:col>5</xdr:col>
      <xdr:colOff>689989</xdr:colOff>
      <xdr:row>3</xdr:row>
      <xdr:rowOff>232065</xdr:rowOff>
    </xdr:to>
    <xdr:sp>
      <xdr:nvSpPr>
        <xdr:cNvPr id="2" name="https://paris.notaires.fr/sites/default/files/regimes_matrinmoniaux_contrats_de_mariage_mai_2014.pdf"/>
        <xdr:cNvSpPr txBox="1"/>
      </xdr:nvSpPr>
      <xdr:spPr>
        <a:xfrm>
          <a:off x="3906696" y="538188"/>
          <a:ext cx="3946094" cy="46286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ctr" defTabSz="45720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sng">
              <a:solidFill>
                <a:srgbClr val="000000"/>
              </a:solidFill>
              <a:uFillTx/>
              <a:latin typeface="+mn-lt"/>
              <a:ea typeface="+mn-ea"/>
              <a:cs typeface="+mn-cs"/>
              <a:sym typeface="Helvetica Neue"/>
              <a:hlinkClick r:id="rId1" invalidUrl="" action="" tgtFrame="" tooltip="" history="1" highlightClick="0" endSnd="0"/>
            </a:rPr>
            <a:t>https://paris.notaires.fr/sites/default/files/regimes_matrinmoniaux_contrats_de_mariage_mai_2014.pdf</a:t>
          </a: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6.xml.rels><?xml version="1.0" encoding="UTF-8"?>
<Relationships xmlns="http://schemas.openxmlformats.org/package/2006/relationships"><Relationship Id="rId1" Type="http://schemas.openxmlformats.org/officeDocument/2006/relationships/hyperlink" Target="mailto:gabrielle.angot@gmail.com" TargetMode="External"/><Relationship Id="rId2" Type="http://schemas.openxmlformats.org/officeDocument/2006/relationships/hyperlink" Target="mailto:louisebertrand123@gmail.com" TargetMode="External"/><Relationship Id="rId3" Type="http://schemas.openxmlformats.org/officeDocument/2006/relationships/hyperlink" Target="mailto:naza31072001@gmail.com" TargetMode="External"/></Relationships>

</file>

<file path=xl/worksheets/_rels/sheet11.xml.rels><?xml version="1.0" encoding="UTF-8"?>
<Relationships xmlns="http://schemas.openxmlformats.org/package/2006/relationships"><Relationship Id="rId1" Type="http://schemas.openxmlformats.org/officeDocument/2006/relationships/hyperlink" Target="https://www.mariages.net/domaine-mariage/domaine-de-guerquesalle--e143600" TargetMode="External"/><Relationship Id="rId2" Type="http://schemas.openxmlformats.org/officeDocument/2006/relationships/hyperlink" Target="https://www.mariages.net/domaine-mariage/domaine-de-meauce--e168716" TargetMode="External"/><Relationship Id="rId3" Type="http://schemas.openxmlformats.org/officeDocument/2006/relationships/hyperlink" Target="https://www.mariages.net/domaine-mariage/domaine-des-libellules--e386935" TargetMode="External"/><Relationship Id="rId4" Type="http://schemas.openxmlformats.org/officeDocument/2006/relationships/hyperlink" Target="https://www.mariages.net/domaine-mariage/le-saint-leonard--e358295" TargetMode="External"/><Relationship Id="rId5" Type="http://schemas.openxmlformats.org/officeDocument/2006/relationships/hyperlink" Target="https://www.mariages.net/domaine-mariage/vaumonteuil--e247147" TargetMode="External"/><Relationship Id="rId6" Type="http://schemas.openxmlformats.org/officeDocument/2006/relationships/hyperlink" Target="https://www.mariages.net/domaine-mariage/domaine-des-bayettes--e303720" TargetMode="External"/><Relationship Id="rId7" Type="http://schemas.openxmlformats.org/officeDocument/2006/relationships/hyperlink" Target="https://www.mariages.net/domaine-mariage/la-grange-des-triples--e148536" TargetMode="External"/><Relationship Id="rId8" Type="http://schemas.openxmlformats.org/officeDocument/2006/relationships/hyperlink" Target="https://www.mariages.net/chateau-mariage/chateau-amecourt--e136220" TargetMode="External"/><Relationship Id="rId9" Type="http://schemas.openxmlformats.org/officeDocument/2006/relationships/hyperlink" Target="https://www.mariages.net/chateau-mariage/le-chateau-de-motteux--e195221" TargetMode="External"/><Relationship Id="rId10" Type="http://schemas.openxmlformats.org/officeDocument/2006/relationships/hyperlink" Target="https://www.mariages.net/domaine-mariage/manoir-des-foulons--e8243" TargetMode="External"/><Relationship Id="rId11" Type="http://schemas.openxmlformats.org/officeDocument/2006/relationships/hyperlink" Target="https://www.mariages.net/domaine-mariage/le-domaine-de-grisien--e381421" TargetMode="External"/><Relationship Id="rId12" Type="http://schemas.openxmlformats.org/officeDocument/2006/relationships/hyperlink" Target="https://www.mariages.net/salle-mariage/les-jardins-de-josephine--e152850" TargetMode="External"/><Relationship Id="rId13" Type="http://schemas.openxmlformats.org/officeDocument/2006/relationships/hyperlink" Target="https://www.mariages.net/domaine-mariage/domaine-de-coulonge--e195353" TargetMode="External"/><Relationship Id="rId14" Type="http://schemas.openxmlformats.org/officeDocument/2006/relationships/hyperlink" Target="https://www.mariages.net/salle-mariage/le-nomade-lodge--e41965" TargetMode="External"/><Relationship Id="rId15" Type="http://schemas.openxmlformats.org/officeDocument/2006/relationships/hyperlink" Target="https://www.mariages.net/domaine-mariage/la-ferme-darmenon--e151906" TargetMode="External"/><Relationship Id="rId16" Type="http://schemas.openxmlformats.org/officeDocument/2006/relationships/hyperlink" Target="https://www.mariages.net/domaine-mariage/la-ferme-du-grand-chemin--e102933" TargetMode="External"/><Relationship Id="rId17" Type="http://schemas.openxmlformats.org/officeDocument/2006/relationships/hyperlink" Target="https://www.mariages.net/domaine-mariage/domaine-des-prevanches--e119212" TargetMode="External"/><Relationship Id="rId18" Type="http://schemas.openxmlformats.org/officeDocument/2006/relationships/hyperlink" Target="https://www.mariages.net/domaine-mariage/domaine-de-bontemps--e333446" TargetMode="External"/><Relationship Id="rId19" Type="http://schemas.openxmlformats.org/officeDocument/2006/relationships/hyperlink" Target="https://www.mariages.net/salle-mariage/les-bles-verts--e149476" TargetMode="External"/><Relationship Id="rId20" Type="http://schemas.openxmlformats.org/officeDocument/2006/relationships/hyperlink" Target="https://www.mariages.net/domaine-mariage/domaine-de-la-croix-sauvalle--e180437" TargetMode="External"/><Relationship Id="rId21" Type="http://schemas.openxmlformats.org/officeDocument/2006/relationships/hyperlink" Target="https://bridebook.com/fr/wedding-venues/domaine-de-la-voli-re-sainte-maure-de-touraine-indre-et-loire-frBXdAvKg6" TargetMode="External"/><Relationship Id="rId22" Type="http://schemas.openxmlformats.org/officeDocument/2006/relationships/hyperlink" Target="https://bridebook.com/fr/wedding-venues/pont-chevron-ouzouer-sur-tr-z-e-loiret-frm8zlz2gR" TargetMode="External"/><Relationship Id="rId23" Type="http://schemas.openxmlformats.org/officeDocument/2006/relationships/hyperlink" Target="https://bridebook.com/fr/wedding-venues/ch-teau-de-laborde-saint-martin-cand-sur-beuvron-loir-et-cher-frA8xEAaX0" TargetMode="External"/><Relationship Id="rId24" Type="http://schemas.openxmlformats.org/officeDocument/2006/relationships/hyperlink" Target="https://www.mariages.net/domaine-mariage/manoir-de-vacheresses--e148581" TargetMode="External"/><Relationship Id="rId25" Type="http://schemas.openxmlformats.org/officeDocument/2006/relationships/hyperlink" Target="https://bridebook.com/fr/wedding-venues/chateau-hazeville-wy-dit-joli-village-val-d-oise-fr0X22aBQX" TargetMode="External"/><Relationship Id="rId26" Type="http://schemas.openxmlformats.org/officeDocument/2006/relationships/hyperlink" Target="https://bridebook.com/fr/wedding-venues/ch-teau-de-villette-sennely-loiret-fr4XD1rLgo" TargetMode="External"/><Relationship Id="rId27" Type="http://schemas.openxmlformats.org/officeDocument/2006/relationships/hyperlink" Target="https://www.mariages.net/domaine-mariage/le-moulin-de-pommeuse--e155990" TargetMode="External"/><Relationship Id="rId28" Type="http://schemas.openxmlformats.org/officeDocument/2006/relationships/hyperlink" Target="https://www.mariages.net/domaine-mariage/domaine-des-coccinelles--e235316" TargetMode="External"/><Relationship Id="rId29" Type="http://schemas.openxmlformats.org/officeDocument/2006/relationships/hyperlink" Target="https://www.mariages.net/domaine-mariage/les-tourelles-de-fonville--e185949" TargetMode="External"/><Relationship Id="rId30" Type="http://schemas.openxmlformats.org/officeDocument/2006/relationships/hyperlink" Target="https://bridebook.com/fr/shortlist/venues/domaine-de-la-thibaudi-re-faverolles-eure-et-loir-frog49pWYv" TargetMode="External"/><Relationship Id="rId31" Type="http://schemas.openxmlformats.org/officeDocument/2006/relationships/hyperlink" Target="https://www.mariages.net/domaine-mariage/le-clos-de-lorangerie--e145905" TargetMode="External"/><Relationship Id="rId32" Type="http://schemas.openxmlformats.org/officeDocument/2006/relationships/hyperlink" Target="https://www.mariages.net/domaine-mariage/lorangerie-de-l-oree-du-bois--e351105" TargetMode="External"/><Relationship Id="rId33" Type="http://schemas.openxmlformats.org/officeDocument/2006/relationships/hyperlink" Target="https://www.mariages.net/domaine-mariage/domaine-de-saint-vigor--e194877" TargetMode="External"/><Relationship Id="rId34" Type="http://schemas.openxmlformats.org/officeDocument/2006/relationships/hyperlink" Target="https://www.mariages.net/chateau-mariage/chateau-dhermival--e194737" TargetMode="External"/><Relationship Id="rId35" Type="http://schemas.openxmlformats.org/officeDocument/2006/relationships/hyperlink" Target="https://www.mariages.net/domaine-mariage/domaine-de-champignolles--e329152" TargetMode="External"/><Relationship Id="rId36" Type="http://schemas.openxmlformats.org/officeDocument/2006/relationships/hyperlink" Target="https://www.mariages.net/chateau-mariage/chateau-de-maudetour--e137675" TargetMode="External"/><Relationship Id="rId37" Type="http://schemas.openxmlformats.org/officeDocument/2006/relationships/hyperlink" Target="https://bridebook.com/fr/wedding-venues/ch-teau-de-laverdines-baugy-cher-frqYNwG68V" TargetMode="External"/><Relationship Id="rId38" Type="http://schemas.openxmlformats.org/officeDocument/2006/relationships/hyperlink" Target="https://bridebook.com/fr/wedding-venues/ch-teau-le-chereau-et-domaine-les-poulti-res-montrieux-en-sologne-loir-et-cher-frEqYZxBX2" TargetMode="External"/><Relationship Id="rId39" Type="http://schemas.openxmlformats.org/officeDocument/2006/relationships/hyperlink" Target="https://www.mariages.net/domaine-mariage/le-prieure-de-vernelle--e8151" TargetMode="External"/><Relationship Id="rId40" Type="http://schemas.openxmlformats.org/officeDocument/2006/relationships/hyperlink" Target="https://www.mariages.net/domaine-mariage/abbaye-du-tresor--e311894" TargetMode="External"/><Relationship Id="rId41" Type="http://schemas.openxmlformats.org/officeDocument/2006/relationships/hyperlink" Target="https://www.mariages.net/domaine-mariage/le-val-gaudry--e277984" TargetMode="External"/><Relationship Id="rId42" Type="http://schemas.openxmlformats.org/officeDocument/2006/relationships/hyperlink" Target="https://www.mariages.net/domaine-mariage/le-village-de-sully--e159056" TargetMode="External"/><Relationship Id="rId43" Type="http://schemas.openxmlformats.org/officeDocument/2006/relationships/hyperlink" Target="https://www.mariages.net/chateau-mariage/le-chateau-de-loree-du-bois--e188956" TargetMode="External"/><Relationship Id="rId44" Type="http://schemas.openxmlformats.org/officeDocument/2006/relationships/hyperlink" Target="https://www.mariages.net/domaine-mariage/la-catrache--e10724" TargetMode="External"/><Relationship Id="rId45" Type="http://schemas.openxmlformats.org/officeDocument/2006/relationships/hyperlink" Target="https://bridebook.com/fr/wedding-venues/le-domaine-de-vaujoly-courville-sur-eure-eure-et-loir-frEgQ3JQ8J" TargetMode="External"/><Relationship Id="rId46" Type="http://schemas.openxmlformats.org/officeDocument/2006/relationships/hyperlink" Target="https://www.mariages.net/domaine-mariage/domaine-des-colombes--e318080" TargetMode="External"/><Relationship Id="rId47" Type="http://schemas.openxmlformats.org/officeDocument/2006/relationships/hyperlink" Target="https://www.mariages.net/domaine-mariage/moulin-de-mistou--e199379" TargetMode="External"/><Relationship Id="rId48" Type="http://schemas.openxmlformats.org/officeDocument/2006/relationships/hyperlink" Target="https://www.mariages.net/domaine-mariage/hotel-dolce-by-wyndham-versailles-domaine-du-montcel--e302872" TargetMode="External"/><Relationship Id="rId49" Type="http://schemas.openxmlformats.org/officeDocument/2006/relationships/hyperlink" Target="https://www.mariages.net/chateau-mariage/chateau-barthelemy--e138571" TargetMode="External"/><Relationship Id="rId50" Type="http://schemas.openxmlformats.org/officeDocument/2006/relationships/hyperlink" Target="https://www.mariages.net/chateau-mariage/chateau-des-hauts-de-provins--e245889" TargetMode="External"/><Relationship Id="rId51" Type="http://schemas.openxmlformats.org/officeDocument/2006/relationships/hyperlink" Target="https://www.mariages.net/chateau-mariage/le-petit-chateau-de-barbizon--e326194" TargetMode="External"/><Relationship Id="rId52" Type="http://schemas.openxmlformats.org/officeDocument/2006/relationships/hyperlink" Target="https://www.mariages.net/chateau-mariage/chateau-de-bonaventure--e200469" TargetMode="External"/><Relationship Id="rId53" Type="http://schemas.openxmlformats.org/officeDocument/2006/relationships/hyperlink" Target="https://bridebook.com/fr/wedding-venues/le-ch-teau-de-beauvois-saint-etienne-de-chigny-indre-et-loire-frqYNej6gV" TargetMode="External"/><Relationship Id="rId54" Type="http://schemas.openxmlformats.org/officeDocument/2006/relationships/hyperlink" Target="https://www.mariages.net/domaine-mariage/la-dime-de-giverny--e131554" TargetMode="External"/><Relationship Id="rId55" Type="http://schemas.openxmlformats.org/officeDocument/2006/relationships/hyperlink" Target="https://www.mariages.net/domaine-mariage/le-moulin-de-bully--e90741" TargetMode="External"/><Relationship Id="rId56" Type="http://schemas.openxmlformats.org/officeDocument/2006/relationships/hyperlink" Target="https://www.mariages.net/domaine-mariage/ferme-dorsonville--e73782" TargetMode="External"/><Relationship Id="rId57" Type="http://schemas.openxmlformats.org/officeDocument/2006/relationships/hyperlink" Target="https://www.mariages.net/domaine-mariage/chateau-de-cheronne--e7324" TargetMode="External"/><Relationship Id="rId58" Type="http://schemas.openxmlformats.org/officeDocument/2006/relationships/hyperlink" Target="https://www.imodis.fr/mariage/" TargetMode="External"/><Relationship Id="rId59" Type="http://schemas.openxmlformats.org/officeDocument/2006/relationships/hyperlink" Target="https://www.mariages.net/domaine-mariage/la-grange-de-bourgoult--e7861" TargetMode="External"/><Relationship Id="rId60" Type="http://schemas.openxmlformats.org/officeDocument/2006/relationships/hyperlink" Target="https://www.mariages.net/chateau-mariage/chateau-de-serans--e102961" TargetMode="External"/><Relationship Id="rId61" Type="http://schemas.openxmlformats.org/officeDocument/2006/relationships/hyperlink" Target="https://www.mariages.net/salle-mariage/les-hirondelles--e166480" TargetMode="External"/><Relationship Id="rId62" Type="http://schemas.openxmlformats.org/officeDocument/2006/relationships/hyperlink" Target="https://www.mariages.net/chateau-mariage/chateau-de-lesigny--e141033" TargetMode="External"/><Relationship Id="rId63" Type="http://schemas.openxmlformats.org/officeDocument/2006/relationships/hyperlink" Target="https://www.mariages.net/domaine-mariage/la-drille-au-bord-de-leau--e375961?cmp=ADW-SEM-PMAX-VENUES&amp;utm_source=google&amp;utm_medium=paid-search&amp;utm_campaign=VENUES-Pmax-B2C-Marketplace&amp;utm_content=performance_cpm_search-ad_na_na&amp;gclid=CjwKCAiAmp3LBhAkEiwAJM2JUNEIVpgIVYzdvy7q_9B4zPxfdHgglQ1ftklNaVrRq-QAww0pOmo2vBoCLwoQAvD_BwE" TargetMode="External"/><Relationship Id="rId64" Type="http://schemas.openxmlformats.org/officeDocument/2006/relationships/hyperlink" Target="https://www.mariages.net/domaine-mariage/chateau-de-beauclair--e377467" TargetMode="External"/><Relationship Id="rId65" Type="http://schemas.openxmlformats.org/officeDocument/2006/relationships/hyperlink" Target="https://www.mariages.net/domaine-mariage/domaine-de-montigny--e180117" TargetMode="External"/><Relationship Id="rId66" Type="http://schemas.openxmlformats.org/officeDocument/2006/relationships/hyperlink" Target="https://www.mariages.net/domaine-mariage/le-domaine-de-montireau--e156376" TargetMode="External"/><Relationship Id="rId67" Type="http://schemas.openxmlformats.org/officeDocument/2006/relationships/hyperlink" Target="https://www.mariages.net/domaine-mariage/manoir-de-corny--e327062" TargetMode="External"/><Relationship Id="rId68" Type="http://schemas.openxmlformats.org/officeDocument/2006/relationships/hyperlink" Target="https://www.mariages.net/domaine-mariage/domaine-des-3-voyages--e157976" TargetMode="External"/><Relationship Id="rId69" Type="http://schemas.openxmlformats.org/officeDocument/2006/relationships/hyperlink" Target="https://www.mariages.net/domaine-mariage/bona-venture-domaine-des-aulnaies--e282428" TargetMode="External"/><Relationship Id="rId70" Type="http://schemas.openxmlformats.org/officeDocument/2006/relationships/hyperlink" Target="https://www.mariages.net/chateau-mariage/chateau-de-la-plumasserie--e271241" TargetMode="External"/><Relationship Id="rId71" Type="http://schemas.openxmlformats.org/officeDocument/2006/relationships/hyperlink" Target="https://www.mariages.net/domaine-mariage/domaine-de-la-vallee-aux-pages--e8171" TargetMode="External"/><Relationship Id="rId72" Type="http://schemas.openxmlformats.org/officeDocument/2006/relationships/hyperlink" Target="https://bridebook.com/fr/wedding-venues/ch-teau-de-la-trye-hermes-oise-fr0X22ajdX" TargetMode="External"/><Relationship Id="rId73" Type="http://schemas.openxmlformats.org/officeDocument/2006/relationships/hyperlink" Target="https://www.mariages.net/domaine-mariage/les-hauts-de-pardaillan--e10685" TargetMode="External"/><Relationship Id="rId74" Type="http://schemas.openxmlformats.org/officeDocument/2006/relationships/hyperlink" Target="https://www.mariages.net/domaine-mariage/le-manoir-de-villefermoy--e254055" TargetMode="External"/><Relationship Id="rId75" Type="http://schemas.openxmlformats.org/officeDocument/2006/relationships/hyperlink" Target="https://bridebook.com/fr/wedding-venues/ch-teau-de-rochecotte-saint-patrice-indre-et-loire-fr0og4BD8v" TargetMode="External"/><Relationship Id="rId76" Type="http://schemas.openxmlformats.org/officeDocument/2006/relationships/hyperlink" Target="https://bridebook.com/fr/wedding-venues/kathrin-schleich-ueberherrn--de3jgyo381" TargetMode="External"/><Relationship Id="rId77" Type="http://schemas.openxmlformats.org/officeDocument/2006/relationships/hyperlink" Target="https://www.mariages.net/domaine-mariage/prieure-de-saint-cyr--e7469" TargetMode="External"/><Relationship Id="rId78" Type="http://schemas.openxmlformats.org/officeDocument/2006/relationships/hyperlink" Target="https://www.mariages.net/domaine-mariage/le-domaine-de-marolles--e148715" TargetMode="External"/><Relationship Id="rId79" Type="http://schemas.openxmlformats.org/officeDocument/2006/relationships/hyperlink" Target="https://www.mariages.net/chateau-mariage/chateau-hattonchatel--e122266?cmp=ADW-Reception-Chateau&amp;utm_source=google&amp;utm_medium=paid-search&amp;utm_campaign=B2C-VENUES-Search-Marketplace&amp;utm_content=performance_cpm_search-ad_castle_dsa_premium_na_na&amp;gclid=CjwKCAiAmp3LBhAkEiwAJM2JUJwvaagl9NXPvST7VtZ6s4NFPfu_eoEfYXJsz6sHCX9qSm7Ge9mmORoCUdMQAvD_BwE" TargetMode="External"/></Relationships>

</file>

<file path=xl/worksheets/_rels/sheet14.xml.rels><?xml version="1.0" encoding="UTF-8"?>
<Relationships xmlns="http://schemas.openxmlformats.org/package/2006/relationships"><Relationship Id="rId1" Type="http://schemas.openxmlformats.org/officeDocument/2006/relationships/hyperlink" Target="http://resthome21.com" TargetMode="External"/><Relationship Id="rId2" Type="http://schemas.openxmlformats.org/officeDocument/2006/relationships/hyperlink" Target="https://biere-truck.fr/tarifs/" TargetMode="External"/></Relationships>

</file>

<file path=xl/worksheets/_rels/sheet15.xml.rels><?xml version="1.0" encoding="UTF-8"?>
<Relationships xmlns="http://schemas.openxmlformats.org/package/2006/relationships"><Relationship Id="rId1" Type="http://schemas.openxmlformats.org/officeDocument/2006/relationships/hyperlink" Target="mailto:saveursdelastrolabe@gmail.com" TargetMode="External"/><Relationship Id="rId2" Type="http://schemas.openxmlformats.org/officeDocument/2006/relationships/hyperlink" Target="mailto:contact@frushparis.com" TargetMode="External"/><Relationship Id="rId3" Type="http://schemas.openxmlformats.org/officeDocument/2006/relationships/hyperlink" Target="mailto:crepestroopers@gmail.com" TargetMode="External"/><Relationship Id="rId4" Type="http://schemas.openxmlformats.org/officeDocument/2006/relationships/hyperlink" Target="mailto:contact@onlybrunch.fr" TargetMode="External"/><Relationship Id="rId5" Type="http://schemas.openxmlformats.org/officeDocument/2006/relationships/hyperlink" Target="https://docs.google.com/spreadsheets/d/19l5phokZF2XZjeLtiz9Oy7kY7lfZbUJk4QnpF3BRvF4/edit?gid=2050704359#gid=2050704359" TargetMode="External"/><Relationship Id="rId6" Type="http://schemas.openxmlformats.org/officeDocument/2006/relationships/hyperlink" Target="mailto:brunchpourmoi@gmail.com" TargetMode="External"/><Relationship Id="rId7" Type="http://schemas.openxmlformats.org/officeDocument/2006/relationships/hyperlink" Target="https://www.bruncheure.fr/demande-de-devis" TargetMode="External"/><Relationship Id="rId8" Type="http://schemas.openxmlformats.org/officeDocument/2006/relationships/hyperlink" Target="https://www.instagram.com/lestoquesdebrunchco/" TargetMode="External"/><Relationship Id="rId9" Type="http://schemas.openxmlformats.org/officeDocument/2006/relationships/hyperlink" Target="https://www.collet-traiteur.fr/public/files/69eb84aa9ec2a.pdf" TargetMode="External"/><Relationship Id="rId10" Type="http://schemas.openxmlformats.org/officeDocument/2006/relationships/hyperlink" Target="https://www.avotregout.fr/services/brunch" TargetMode="External"/><Relationship Id="rId11" Type="http://schemas.openxmlformats.org/officeDocument/2006/relationships/hyperlink" Target="https://www.briffaut-traiteur.fr/" TargetMode="External"/><Relationship Id="rId12" Type="http://schemas.openxmlformats.org/officeDocument/2006/relationships/hyperlink" Target="https://www.facebook.com/profile.php?id=61557985466386&amp;utm_source=ig&amp;utm_medium=social&amp;utm_content=link_in_bio" TargetMode="External"/><Relationship Id="rId13" Type="http://schemas.openxmlformats.org/officeDocument/2006/relationships/hyperlink" Target="mailto:contact@terroir-epicure.com" TargetMode="External"/><Relationship Id="rId14" Type="http://schemas.openxmlformats.org/officeDocument/2006/relationships/hyperlink" Target="https://www.groupe-hauville.com/" TargetMode="External"/><Relationship Id="rId15" Type="http://schemas.openxmlformats.org/officeDocument/2006/relationships/hyperlink" Target="https://grandchemintraiteur.fr/" TargetMode="External"/><Relationship Id="rId16" Type="http://schemas.openxmlformats.org/officeDocument/2006/relationships/hyperlink" Target="https://www.epicura-receptions.fr/" TargetMode="External"/></Relationships>

</file>

<file path=xl/worksheets/_rels/sheet23.xml.rels><?xml version="1.0" encoding="UTF-8"?>
<Relationships xmlns="http://schemas.openxmlformats.org/package/2006/relationships"><Relationship Id="rId1" Type="http://schemas.openxmlformats.org/officeDocument/2006/relationships/hyperlink" Target="https://www.mariages.net/organisation-mariage/made-for-you-events--e245673" TargetMode="External"/></Relationships>

</file>

<file path=xl/worksheets/_rels/sheet24.xml.rels><?xml version="1.0" encoding="UTF-8"?>
<Relationships xmlns="http://schemas.openxmlformats.org/package/2006/relationships"><Relationship Id="rId1" Type="http://schemas.openxmlformats.org/officeDocument/2006/relationships/hyperlink" Target="mailto:Theperfectdate@outlook.fr" TargetMode="External"/><Relationship Id="rId2" Type="http://schemas.openxmlformats.org/officeDocument/2006/relationships/hyperlink" Target="mailto:tiphany.madeforyou@gmail.com" TargetMode="External"/></Relationships>

</file>

<file path=xl/worksheets/_rels/sheet26.xml.rels><?xml version="1.0" encoding="UTF-8"?>
<Relationships xmlns="http://schemas.openxmlformats.org/package/2006/relationships"><Relationship Id="rId1" Type="http://schemas.openxmlformats.org/officeDocument/2006/relationships/hyperlink" Target="https://www.roadstr.fr/cars/porsche-boxster-type-981-2018-marly-le-roi" TargetMode="External"/><Relationship Id="rId2" Type="http://schemas.openxmlformats.org/officeDocument/2006/relationships/hyperlink" Target="https://www.lrm-collection.fr/Location-voiture-mariage,Yvelines,page-30,78,290,.htm" TargetMode="External"/></Relationships>

</file>

<file path=xl/worksheets/_rels/sheet28.xml.rels><?xml version="1.0" encoding="UTF-8"?>
<Relationships xmlns="http://schemas.openxmlformats.org/package/2006/relationships"><Relationship Id="rId1" Type="http://schemas.openxmlformats.org/officeDocument/2006/relationships/hyperlink" Target="mailto:contact@maviedeboheme.fr" TargetMode="External"/><Relationship Id="rId2" Type="http://schemas.openxmlformats.org/officeDocument/2006/relationships/hyperlink" Target="mailto:contact@fannyfleurs.com" TargetMode="External"/><Relationship Id="rId3" Type="http://schemas.openxmlformats.org/officeDocument/2006/relationships/hyperlink" Target="mailto:delphine.tourne@wanadoo.fr" TargetMode="External"/><Relationship Id="rId4" Type="http://schemas.openxmlformats.org/officeDocument/2006/relationships/hyperlink" Target="mailto:latelierdefleurd@gmail.com" TargetMode="External"/><Relationship Id="rId5" Type="http://schemas.openxmlformats.org/officeDocument/2006/relationships/hyperlink" Target="mailto:desfleursencouleurs@outlook.fr" TargetMode="External"/></Relationships>

</file>

<file path=xl/worksheets/_rels/sheet29.xml.rels><?xml version="1.0" encoding="UTF-8"?>
<Relationships xmlns="http://schemas.openxmlformats.org/package/2006/relationships"><Relationship Id="rId1" Type="http://schemas.openxmlformats.org/officeDocument/2006/relationships/hyperlink" Target="mailto:justine.lenik@laposte.net" TargetMode="External"/><Relationship Id="rId2" Type="http://schemas.openxmlformats.org/officeDocument/2006/relationships/hyperlink" Target="mailto:contact@gaellegilotmakeup.com" TargetMode="External"/><Relationship Id="rId3" Type="http://schemas.openxmlformats.org/officeDocument/2006/relationships/hyperlink" Target="mailto:maeliys_makeup28@orange.fr" TargetMode="External"/><Relationship Id="rId4" Type="http://schemas.openxmlformats.org/officeDocument/2006/relationships/hyperlink" Target="mailto:contact.evagelly@gmail.com" TargetMode="External"/><Relationship Id="rId5" Type="http://schemas.openxmlformats.org/officeDocument/2006/relationships/hyperlink" Target="mailto:margaux.frth@gmail.com" TargetMode="External"/><Relationship Id="rId6" Type="http://schemas.openxmlformats.org/officeDocument/2006/relationships/hyperlink" Target="mailto:estelle-louis28@hotmail.fr" TargetMode="External"/></Relationships>

</file>

<file path=xl/worksheets/_rels/sheet30.xml.rels><?xml version="1.0" encoding="UTF-8"?>
<Relationships xmlns="http://schemas.openxmlformats.org/package/2006/relationships"><Relationship Id="rId1" Type="http://schemas.openxmlformats.org/officeDocument/2006/relationships/hyperlink" Target="mailto:piapaysant@gmail.com" TargetMode="External"/><Relationship Id="rId2" Type="http://schemas.openxmlformats.org/officeDocument/2006/relationships/hyperlink" Target="mailto:stephie-coiffure@hotmail.com" TargetMode="External"/></Relationships>

</file>

<file path=xl/worksheets/_rels/sheet31.xml.rels><?xml version="1.0" encoding="UTF-8"?>
<Relationships xmlns="http://schemas.openxmlformats.org/package/2006/relationships"><Relationship Id="rId1" Type="http://schemas.openxmlformats.org/officeDocument/2006/relationships/hyperlink" Target="https://www.diamondsfactory.fr/design/bague-demi-eternite-en-diamant-serti-griffes-clrn0530501" TargetMode="External"/><Relationship Id="rId2" Type="http://schemas.openxmlformats.org/officeDocument/2006/relationships/hyperlink" Target="https://www.cartier.com/fr-fr/jewellery/wedding-bands/1895/alliance-1895-largeur-2-5-mm-CRB4002300" TargetMode="External"/></Relationships>

</file>

<file path=xl/worksheets/_rels/sheet32.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59</v>
      </c>
      <c r="C11" s="3"/>
      <c r="D11" s="3"/>
    </row>
    <row r="12">
      <c r="B12" s="4"/>
      <c r="C12" t="s" s="4">
        <v>5</v>
      </c>
      <c r="D12" t="s" s="5">
        <v>59</v>
      </c>
    </row>
    <row r="13">
      <c r="B13" t="s" s="3">
        <v>170</v>
      </c>
      <c r="C13" s="3"/>
      <c r="D13" s="3"/>
    </row>
    <row r="14">
      <c r="B14" s="4"/>
      <c r="C14" t="s" s="4">
        <v>170</v>
      </c>
      <c r="D14" t="s" s="5">
        <v>171</v>
      </c>
    </row>
    <row r="15">
      <c r="B15" s="4"/>
      <c r="C15" t="s" s="4">
        <v>192</v>
      </c>
      <c r="D15" t="s" s="5">
        <v>193</v>
      </c>
    </row>
    <row r="16">
      <c r="B16" t="s" s="3">
        <v>208</v>
      </c>
      <c r="C16" s="3"/>
      <c r="D16" s="3"/>
    </row>
    <row r="17">
      <c r="B17" s="4"/>
      <c r="C17" t="s" s="4">
        <v>5</v>
      </c>
      <c r="D17" t="s" s="5">
        <v>208</v>
      </c>
    </row>
    <row r="18">
      <c r="B18" t="s" s="3">
        <v>471</v>
      </c>
      <c r="C18" s="3"/>
      <c r="D18" s="3"/>
    </row>
    <row r="19">
      <c r="B19" s="4"/>
      <c r="C19" t="s" s="4">
        <v>5</v>
      </c>
      <c r="D19" t="s" s="5">
        <v>472</v>
      </c>
    </row>
    <row r="20">
      <c r="B20" s="4"/>
      <c r="C20" t="s" s="4">
        <v>475</v>
      </c>
      <c r="D20" t="s" s="5">
        <v>476</v>
      </c>
    </row>
    <row r="21">
      <c r="B21" t="s" s="3">
        <v>484</v>
      </c>
      <c r="C21" s="3"/>
      <c r="D21" s="3"/>
    </row>
    <row r="22">
      <c r="B22" s="4"/>
      <c r="C22" t="s" s="4">
        <v>231</v>
      </c>
      <c r="D22" t="s" s="5">
        <v>485</v>
      </c>
    </row>
    <row r="23">
      <c r="B23" s="4"/>
      <c r="C23" t="s" s="4">
        <v>70</v>
      </c>
      <c r="D23" t="s" s="5">
        <v>493</v>
      </c>
    </row>
    <row r="24">
      <c r="B24" t="s" s="3">
        <v>65</v>
      </c>
      <c r="C24" s="3"/>
      <c r="D24" s="3"/>
    </row>
    <row r="25">
      <c r="B25" s="4"/>
      <c r="C25" t="s" s="4">
        <v>5</v>
      </c>
      <c r="D25" t="s" s="5">
        <v>65</v>
      </c>
    </row>
    <row r="26">
      <c r="B26" t="s" s="3">
        <v>177</v>
      </c>
      <c r="C26" s="3"/>
      <c r="D26" s="3"/>
    </row>
    <row r="27">
      <c r="B27" s="4"/>
      <c r="C27" t="s" s="4">
        <v>5</v>
      </c>
      <c r="D27" t="s" s="5">
        <v>839</v>
      </c>
    </row>
    <row r="28">
      <c r="B28" s="4"/>
      <c r="C28" t="s" s="4">
        <v>876</v>
      </c>
      <c r="D28" t="s" s="5">
        <v>877</v>
      </c>
    </row>
    <row r="29">
      <c r="B29" s="4"/>
      <c r="C29" t="s" s="4">
        <v>1079</v>
      </c>
      <c r="D29" t="s" s="5">
        <v>1080</v>
      </c>
    </row>
    <row r="30">
      <c r="B30" s="4"/>
      <c r="C30" t="s" s="4">
        <v>1152</v>
      </c>
      <c r="D30" t="s" s="5">
        <v>1153</v>
      </c>
    </row>
    <row r="31">
      <c r="B31" t="s" s="3">
        <v>1196</v>
      </c>
      <c r="C31" s="3"/>
      <c r="D31" s="3"/>
    </row>
    <row r="32">
      <c r="B32" s="4"/>
      <c r="C32" t="s" s="4">
        <v>1197</v>
      </c>
      <c r="D32" t="s" s="5">
        <v>1198</v>
      </c>
    </row>
    <row r="33">
      <c r="B33" s="4"/>
      <c r="C33" t="s" s="4">
        <v>1218</v>
      </c>
      <c r="D33" t="s" s="5">
        <v>1219</v>
      </c>
    </row>
    <row r="34">
      <c r="B34" s="4"/>
      <c r="C34" t="s" s="4">
        <v>1227</v>
      </c>
      <c r="D34" t="s" s="5">
        <v>1228</v>
      </c>
    </row>
    <row r="35">
      <c r="B35" s="4"/>
      <c r="C35" t="s" s="4">
        <v>1232</v>
      </c>
      <c r="D35" t="s" s="5">
        <v>1233</v>
      </c>
    </row>
    <row r="36">
      <c r="B36" t="s" s="3">
        <v>185</v>
      </c>
      <c r="C36" s="3"/>
      <c r="D36" s="3"/>
    </row>
    <row r="37">
      <c r="B37" s="4"/>
      <c r="C37" t="s" s="4">
        <v>5</v>
      </c>
      <c r="D37" t="s" s="5">
        <v>1268</v>
      </c>
    </row>
    <row r="38">
      <c r="B38" s="4"/>
      <c r="C38" t="s" s="4">
        <v>1273</v>
      </c>
      <c r="D38" t="s" s="5">
        <v>1274</v>
      </c>
    </row>
    <row r="39">
      <c r="B39" t="s" s="3">
        <v>181</v>
      </c>
      <c r="C39" s="3"/>
      <c r="D39" s="3"/>
    </row>
    <row r="40">
      <c r="B40" s="4"/>
      <c r="C40" t="s" s="4">
        <v>5</v>
      </c>
      <c r="D40" t="s" s="5">
        <v>181</v>
      </c>
    </row>
    <row r="41">
      <c r="B41" t="s" s="3">
        <v>184</v>
      </c>
      <c r="C41" s="3"/>
      <c r="D41" s="3"/>
    </row>
    <row r="42">
      <c r="B42" s="4"/>
      <c r="C42" t="s" s="4">
        <v>5</v>
      </c>
      <c r="D42" t="s" s="5">
        <v>1286</v>
      </c>
    </row>
    <row r="43">
      <c r="B43" s="4"/>
      <c r="C43" t="s" s="4">
        <v>1298</v>
      </c>
      <c r="D43" t="s" s="5">
        <v>1299</v>
      </c>
    </row>
    <row r="44">
      <c r="B44" t="s" s="3">
        <v>179</v>
      </c>
      <c r="C44" s="3"/>
      <c r="D44" s="3"/>
    </row>
    <row r="45">
      <c r="B45" s="4"/>
      <c r="C45" t="s" s="4">
        <v>5</v>
      </c>
      <c r="D45" t="s" s="5">
        <v>179</v>
      </c>
    </row>
    <row r="46">
      <c r="B46" t="s" s="3">
        <v>186</v>
      </c>
      <c r="C46" s="3"/>
      <c r="D46" s="3"/>
    </row>
    <row r="47">
      <c r="B47" s="4"/>
      <c r="C47" t="s" s="4">
        <v>5</v>
      </c>
      <c r="D47" t="s" s="5">
        <v>186</v>
      </c>
    </row>
    <row r="48">
      <c r="B48" t="s" s="3">
        <v>1323</v>
      </c>
      <c r="C48" s="3"/>
      <c r="D48" s="3"/>
    </row>
    <row r="49">
      <c r="B49" s="4"/>
      <c r="C49" t="s" s="4">
        <v>5</v>
      </c>
      <c r="D49" t="s" s="5">
        <v>1324</v>
      </c>
    </row>
    <row r="50">
      <c r="B50" s="4"/>
      <c r="C50" t="s" s="4">
        <v>1328</v>
      </c>
      <c r="D50" t="s" s="5">
        <v>1329</v>
      </c>
    </row>
    <row r="51">
      <c r="B51" t="s" s="3">
        <v>1342</v>
      </c>
      <c r="C51" s="3"/>
      <c r="D51" s="3"/>
    </row>
    <row r="52">
      <c r="B52" s="4"/>
      <c r="C52" t="s" s="4">
        <v>1343</v>
      </c>
      <c r="D52" t="s" s="5">
        <v>1344</v>
      </c>
    </row>
    <row r="53">
      <c r="B53" s="4"/>
      <c r="C53" t="s" s="4">
        <v>1365</v>
      </c>
      <c r="D53" t="s" s="5">
        <v>1366</v>
      </c>
    </row>
    <row r="54">
      <c r="B54" t="s" s="3">
        <v>183</v>
      </c>
      <c r="C54" s="3"/>
      <c r="D54" s="3"/>
    </row>
    <row r="55">
      <c r="B55" s="4"/>
      <c r="C55" t="s" s="4">
        <v>5</v>
      </c>
      <c r="D55" t="s" s="5">
        <v>183</v>
      </c>
    </row>
    <row r="56">
      <c r="B56" t="s" s="3">
        <v>189</v>
      </c>
      <c r="C56" s="3"/>
      <c r="D56" s="3"/>
    </row>
    <row r="57">
      <c r="B57" s="4"/>
      <c r="C57" t="s" s="4">
        <v>5</v>
      </c>
      <c r="D57" t="s" s="5">
        <v>189</v>
      </c>
    </row>
    <row r="58">
      <c r="B58" t="s" s="3">
        <v>180</v>
      </c>
      <c r="C58" s="3"/>
      <c r="D58" s="3"/>
    </row>
    <row r="59">
      <c r="B59" s="4"/>
      <c r="C59" t="s" s="4">
        <v>5</v>
      </c>
      <c r="D59" t="s" s="5">
        <v>180</v>
      </c>
    </row>
    <row r="60">
      <c r="B60" t="s" s="3">
        <v>1387</v>
      </c>
      <c r="C60" s="3"/>
      <c r="D60" s="3"/>
    </row>
    <row r="61">
      <c r="B61" s="4"/>
      <c r="C61" t="s" s="4">
        <v>5</v>
      </c>
      <c r="D61" t="s" s="5">
        <v>1387</v>
      </c>
    </row>
    <row r="62">
      <c r="B62" t="s" s="3">
        <v>1388</v>
      </c>
      <c r="C62" s="3"/>
      <c r="D62" s="3"/>
    </row>
    <row r="63">
      <c r="B63" s="4"/>
      <c r="C63" t="s" s="4">
        <v>170</v>
      </c>
      <c r="D63" t="s" s="5">
        <v>1389</v>
      </c>
    </row>
  </sheetData>
  <mergeCells count="1">
    <mergeCell ref="B3:D3"/>
  </mergeCells>
  <hyperlinks>
    <hyperlink ref="D10" location="'Plan d''actions'!R1C1" tooltip="" display="Plan d'actions"/>
    <hyperlink ref="D12" location="'Programme'!R1C1" tooltip="" display="Programme"/>
    <hyperlink ref="D14" location="'Budget - Budget'!R2C1" tooltip="" display="Budget - Budget"/>
    <hyperlink ref="D15" location="'Budget - Dépenses réelles'!R2C1" tooltip="" display="Budget - Dépenses réelles"/>
    <hyperlink ref="D17" location="'Invités'!R1C1" tooltip="" display="Invités"/>
    <hyperlink ref="D19" location="'Témoins &amp; Honneurs - Tableau 1'!R1C1" tooltip="" display="Témoins &amp; Honneurs - Tableau 1"/>
    <hyperlink ref="D20" location="'Témoins &amp; Honneurs - Tableau 1-'!R1C1" tooltip="" display="Témoins &amp; Honneurs - Tableau 1-"/>
    <hyperlink ref="D22" location="'EVJF &amp; EVG - Léa'!R2C1" tooltip="" display="EVJF &amp; EVG - Léa"/>
    <hyperlink ref="D23" location="'EVJF &amp; EVG - PA'!R2C1" tooltip="" display="EVJF &amp; EVG - PA"/>
    <hyperlink ref="D25" location="'Lieu'!R2C2" tooltip="" display="Lieu"/>
    <hyperlink ref="D27" location="'Repas - Tableau 1'!R1C1" tooltip="" display="Repas - Tableau 1"/>
    <hyperlink ref="D28" location="'Repas - Gauthier traiteur'!R2C1" tooltip="" display="Repas - Gauthier traiteur"/>
    <hyperlink ref="D29" location="'Repas - Devis Food Truck'!R2C1" tooltip="" display="Repas - Devis Food Truck"/>
    <hyperlink ref="D30" location="'Repas - Devis Brunch'!R2C1" tooltip="" display="Repas - Devis Brunch"/>
    <hyperlink ref="D32" location="'Couchages - Lodge'!R2C1" tooltip="" display="Couchages - Lodge"/>
    <hyperlink ref="D33" location="'Couchages - Maison'!R2C1" tooltip="" display="Couchages - Maison"/>
    <hyperlink ref="D34" location="'Couchages - Cabane'!R2C1" tooltip="" display="Couchages - Cabane"/>
    <hyperlink ref="D35" location="'Couchages - Tipis'!R2C1" tooltip="" display="Couchages - Tipis"/>
    <hyperlink ref="D37" location="'Photos &amp; Vidéos - Tableau 1'!R1C1" tooltip="" display="Photos &amp; Vidéos - Tableau 1"/>
    <hyperlink ref="D38" location="'Photos &amp; Vidéos - Groupe photos'!R2C1" tooltip="" display="Photos &amp; Vidéos - Groupe photos"/>
    <hyperlink ref="D40" location="'Musique'!R1C1" tooltip="" display="Musique"/>
    <hyperlink ref="D42" location="'Activités - Tableau 1'!R1C1" tooltip="" display="Activités - Tableau 1"/>
    <hyperlink ref="D43" location="'Activités - Devis Coordinatrice'!R2C1" tooltip="" display="Activités - Devis Coordinatrice"/>
    <hyperlink ref="D45" location="'Habillement'!R1C1" tooltip="" display="Habillement"/>
    <hyperlink ref="D47" location="'Voiture'!R1C1" tooltip="" display="Voiture"/>
    <hyperlink ref="D49" location="'Décorations - Tableau 1'!R1C1" tooltip="" display="Décorations - Tableau 1"/>
    <hyperlink ref="D50" location="'Décorations - Devis Fleuriste'!R2C1" tooltip="" display="Décorations - Devis Fleuriste"/>
    <hyperlink ref="D52" location="'Coiffure_Maquillage - Devis Mak'!R2C1" tooltip="" display="Coiffure_Maquillage - Devis Mak"/>
    <hyperlink ref="D53" location="'Coiffure_Maquillage - Devis Coi'!R2C1" tooltip="" display="Coiffure_Maquillage - Devis Coi"/>
    <hyperlink ref="D55" location="'Alliances'!R1C1" tooltip="" display="Alliances"/>
    <hyperlink ref="D57" location="'Notaire'!R1C1" tooltip="" display="Notaire"/>
    <hyperlink ref="D59" location="'Lune de miel'!R1C1" tooltip="" display="Lune de miel"/>
    <hyperlink ref="D61" location="' Cérémonie mairie'!R2C1" tooltip="" display=" Cérémonie mairie"/>
    <hyperlink ref="D63" location="' Cérémonie religieuse - Budget'!R2C1" tooltip="" display=" Cérémonie religieuse - Budget"/>
  </hyperlinks>
</worksheet>
</file>

<file path=xl/worksheets/sheet2.xml><?xml version="1.0" encoding="utf-8"?>
<worksheet xmlns:r="http://schemas.openxmlformats.org/officeDocument/2006/relationships" xmlns="http://schemas.openxmlformats.org/spreadsheetml/2006/main">
  <dimension ref="A1:D81"/>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68.0312" style="6" customWidth="1"/>
    <col min="2" max="2" width="16.3516" style="6" customWidth="1"/>
    <col min="3" max="3" width="35.5" style="6" customWidth="1"/>
    <col min="4" max="4" width="16.3516" style="6" customWidth="1"/>
    <col min="5" max="16384" width="16.3516" style="6" customWidth="1"/>
  </cols>
  <sheetData>
    <row r="1" ht="20.25" customHeight="1">
      <c r="A1" t="s" s="7">
        <v>6</v>
      </c>
      <c r="B1" t="s" s="7">
        <v>7</v>
      </c>
      <c r="C1" t="s" s="7">
        <v>8</v>
      </c>
      <c r="D1" t="s" s="7">
        <v>9</v>
      </c>
    </row>
    <row r="2" ht="20.25" customHeight="1">
      <c r="A2" t="s" s="8">
        <v>10</v>
      </c>
      <c r="B2" s="9">
        <v>46047</v>
      </c>
      <c r="C2" t="s" s="10">
        <v>11</v>
      </c>
      <c r="D2" t="s" s="10">
        <v>12</v>
      </c>
    </row>
    <row r="3" ht="20.05" customHeight="1">
      <c r="A3" t="s" s="11">
        <v>10</v>
      </c>
      <c r="B3" s="12">
        <v>46047</v>
      </c>
      <c r="C3" t="s" s="13">
        <v>13</v>
      </c>
      <c r="D3" t="s" s="13">
        <v>14</v>
      </c>
    </row>
    <row r="4" ht="20.05" customHeight="1">
      <c r="A4" t="s" s="11">
        <v>15</v>
      </c>
      <c r="B4" s="12">
        <v>46054</v>
      </c>
      <c r="C4" t="s" s="13">
        <v>16</v>
      </c>
      <c r="D4" t="s" s="13">
        <v>12</v>
      </c>
    </row>
    <row r="5" ht="20.05" customHeight="1">
      <c r="A5" t="s" s="14">
        <v>17</v>
      </c>
      <c r="B5" s="12">
        <v>46068</v>
      </c>
      <c r="C5" t="s" s="13">
        <v>11</v>
      </c>
      <c r="D5" t="s" s="13">
        <v>12</v>
      </c>
    </row>
    <row r="6" ht="20.05" customHeight="1">
      <c r="A6" t="s" s="14">
        <v>18</v>
      </c>
      <c r="B6" s="12">
        <v>46081</v>
      </c>
      <c r="C6" t="s" s="13">
        <v>11</v>
      </c>
      <c r="D6" t="s" s="13">
        <v>14</v>
      </c>
    </row>
    <row r="7" ht="20.05" customHeight="1">
      <c r="A7" t="s" s="14">
        <v>19</v>
      </c>
      <c r="B7" s="12">
        <v>46081</v>
      </c>
      <c r="C7" t="s" s="13">
        <v>16</v>
      </c>
      <c r="D7" t="s" s="13">
        <v>12</v>
      </c>
    </row>
    <row r="8" ht="20.05" customHeight="1">
      <c r="A8" t="s" s="14">
        <v>20</v>
      </c>
      <c r="B8" s="12">
        <v>46113</v>
      </c>
      <c r="C8" t="s" s="13">
        <v>11</v>
      </c>
      <c r="D8" t="s" s="13">
        <v>12</v>
      </c>
    </row>
    <row r="9" ht="20.05" customHeight="1">
      <c r="A9" t="s" s="14">
        <v>21</v>
      </c>
      <c r="B9" s="15">
        <v>46127</v>
      </c>
      <c r="C9" t="s" s="13">
        <v>16</v>
      </c>
      <c r="D9" t="s" s="13">
        <v>14</v>
      </c>
    </row>
    <row r="10" ht="20.05" customHeight="1">
      <c r="A10" t="s" s="14">
        <v>22</v>
      </c>
      <c r="B10" s="15">
        <v>46127</v>
      </c>
      <c r="C10" t="s" s="16">
        <v>13</v>
      </c>
      <c r="D10" t="s" s="13">
        <v>14</v>
      </c>
    </row>
    <row r="11" ht="20.05" customHeight="1">
      <c r="A11" t="s" s="14">
        <v>23</v>
      </c>
      <c r="B11" s="15">
        <v>46127</v>
      </c>
      <c r="C11" t="s" s="16">
        <v>13</v>
      </c>
      <c r="D11" t="s" s="13">
        <v>14</v>
      </c>
    </row>
    <row r="12" ht="20.05" customHeight="1">
      <c r="A12" t="s" s="14">
        <v>24</v>
      </c>
      <c r="B12" s="15">
        <v>46142</v>
      </c>
      <c r="C12" t="s" s="16">
        <v>13</v>
      </c>
      <c r="D12" t="s" s="13">
        <v>25</v>
      </c>
    </row>
    <row r="13" ht="20.05" customHeight="1">
      <c r="A13" t="s" s="14">
        <v>26</v>
      </c>
      <c r="B13" s="15">
        <v>46169</v>
      </c>
      <c r="C13" t="s" s="13">
        <v>11</v>
      </c>
      <c r="D13" t="s" s="13">
        <v>14</v>
      </c>
    </row>
    <row r="14" ht="20.05" customHeight="1">
      <c r="A14" t="s" s="14">
        <v>27</v>
      </c>
      <c r="B14" s="15">
        <v>46170</v>
      </c>
      <c r="C14" t="s" s="13">
        <v>11</v>
      </c>
      <c r="D14" t="s" s="13">
        <v>14</v>
      </c>
    </row>
    <row r="15" ht="20.05" customHeight="1">
      <c r="A15" t="s" s="14">
        <v>28</v>
      </c>
      <c r="B15" s="15">
        <v>46142</v>
      </c>
      <c r="C15" t="s" s="13">
        <v>13</v>
      </c>
      <c r="D15" t="s" s="13">
        <v>14</v>
      </c>
    </row>
    <row r="16" ht="20.05" customHeight="1">
      <c r="A16" t="s" s="14">
        <v>29</v>
      </c>
      <c r="B16" s="15">
        <v>46203</v>
      </c>
      <c r="C16" t="s" s="13">
        <v>13</v>
      </c>
      <c r="D16" t="s" s="13">
        <v>14</v>
      </c>
    </row>
    <row r="17" ht="20.05" customHeight="1">
      <c r="A17" t="s" s="14">
        <v>30</v>
      </c>
      <c r="B17" s="15">
        <v>46203</v>
      </c>
      <c r="C17" t="s" s="16">
        <v>13</v>
      </c>
      <c r="D17" t="s" s="13">
        <v>25</v>
      </c>
    </row>
    <row r="18" ht="20.05" customHeight="1">
      <c r="A18" t="s" s="14">
        <v>31</v>
      </c>
      <c r="B18" s="15">
        <v>46203</v>
      </c>
      <c r="C18" t="s" s="16">
        <v>13</v>
      </c>
      <c r="D18" t="s" s="13">
        <v>12</v>
      </c>
    </row>
    <row r="19" ht="20.05" customHeight="1">
      <c r="A19" t="s" s="14">
        <v>32</v>
      </c>
      <c r="B19" s="15">
        <v>46203</v>
      </c>
      <c r="C19" t="s" s="16">
        <v>13</v>
      </c>
      <c r="D19" t="s" s="13">
        <v>12</v>
      </c>
    </row>
    <row r="20" ht="20.05" customHeight="1">
      <c r="A20" t="s" s="14">
        <v>33</v>
      </c>
      <c r="B20" s="15">
        <v>46203</v>
      </c>
      <c r="C20" t="s" s="16">
        <v>13</v>
      </c>
      <c r="D20" t="s" s="13">
        <v>12</v>
      </c>
    </row>
    <row r="21" ht="20.05" customHeight="1">
      <c r="A21" t="s" s="14">
        <v>34</v>
      </c>
      <c r="B21" s="15">
        <v>46203</v>
      </c>
      <c r="C21" t="s" s="13">
        <v>11</v>
      </c>
      <c r="D21" t="s" s="13">
        <v>12</v>
      </c>
    </row>
    <row r="22" ht="20.05" customHeight="1">
      <c r="A22" t="s" s="14">
        <v>35</v>
      </c>
      <c r="B22" s="15">
        <v>46263</v>
      </c>
      <c r="C22" t="s" s="13">
        <v>11</v>
      </c>
      <c r="D22" t="s" s="13">
        <v>12</v>
      </c>
    </row>
    <row r="23" ht="20.05" customHeight="1">
      <c r="A23" t="s" s="14">
        <v>36</v>
      </c>
      <c r="B23" s="15">
        <v>46264</v>
      </c>
      <c r="C23" t="s" s="13">
        <v>11</v>
      </c>
      <c r="D23" t="s" s="13">
        <v>25</v>
      </c>
    </row>
    <row r="24" ht="20.05" customHeight="1">
      <c r="A24" t="s" s="14">
        <v>37</v>
      </c>
      <c r="B24" s="15">
        <v>46265</v>
      </c>
      <c r="C24" t="s" s="13">
        <v>16</v>
      </c>
      <c r="D24" t="s" s="13">
        <v>25</v>
      </c>
    </row>
    <row r="25" ht="20.05" customHeight="1">
      <c r="A25" t="s" s="14">
        <v>38</v>
      </c>
      <c r="B25" s="15">
        <v>46206</v>
      </c>
      <c r="C25" t="s" s="13">
        <v>16</v>
      </c>
      <c r="D25" t="s" s="13">
        <v>14</v>
      </c>
    </row>
    <row r="26" ht="20.05" customHeight="1">
      <c r="A26" t="s" s="14">
        <v>39</v>
      </c>
      <c r="B26" s="15">
        <v>46267</v>
      </c>
      <c r="C26" t="s" s="13">
        <v>11</v>
      </c>
      <c r="D26" t="s" s="13">
        <v>14</v>
      </c>
    </row>
    <row r="27" ht="20.05" customHeight="1">
      <c r="A27" t="s" s="14">
        <v>40</v>
      </c>
      <c r="B27" s="15">
        <v>46267</v>
      </c>
      <c r="C27" t="s" s="16">
        <v>13</v>
      </c>
      <c r="D27" t="s" s="13">
        <v>14</v>
      </c>
    </row>
    <row r="28" ht="20.05" customHeight="1">
      <c r="A28" t="s" s="14">
        <v>41</v>
      </c>
      <c r="B28" s="15">
        <v>46268</v>
      </c>
      <c r="C28" t="s" s="13">
        <v>11</v>
      </c>
      <c r="D28" t="s" s="13">
        <v>25</v>
      </c>
    </row>
    <row r="29" ht="20.05" customHeight="1">
      <c r="A29" t="s" s="14">
        <v>42</v>
      </c>
      <c r="B29" s="15">
        <v>46280</v>
      </c>
      <c r="C29" t="s" s="13">
        <v>11</v>
      </c>
      <c r="D29" t="s" s="13">
        <v>14</v>
      </c>
    </row>
    <row r="30" ht="20.05" customHeight="1">
      <c r="A30" t="s" s="14">
        <v>43</v>
      </c>
      <c r="B30" s="12">
        <v>46054</v>
      </c>
      <c r="C30" t="s" s="16">
        <v>13</v>
      </c>
      <c r="D30" t="s" s="13">
        <v>25</v>
      </c>
    </row>
    <row r="31" ht="20.05" customHeight="1">
      <c r="A31" t="s" s="14">
        <v>44</v>
      </c>
      <c r="B31" s="15">
        <v>46296</v>
      </c>
      <c r="C31" t="s" s="16">
        <v>13</v>
      </c>
      <c r="D31" t="s" s="13">
        <v>25</v>
      </c>
    </row>
    <row r="32" ht="20.05" customHeight="1">
      <c r="A32" t="s" s="14">
        <v>45</v>
      </c>
      <c r="B32" s="15">
        <v>46432</v>
      </c>
      <c r="C32" t="s" s="13">
        <v>16</v>
      </c>
      <c r="D32" t="s" s="13">
        <v>25</v>
      </c>
    </row>
    <row r="33" ht="20.05" customHeight="1">
      <c r="A33" t="s" s="14">
        <v>46</v>
      </c>
      <c r="B33" s="15">
        <v>46446</v>
      </c>
      <c r="C33" t="s" s="16">
        <v>13</v>
      </c>
      <c r="D33" t="s" s="13">
        <v>25</v>
      </c>
    </row>
    <row r="34" ht="20.05" customHeight="1">
      <c r="A34" t="s" s="14">
        <v>47</v>
      </c>
      <c r="B34" s="15">
        <v>46447</v>
      </c>
      <c r="C34" t="s" s="13">
        <v>11</v>
      </c>
      <c r="D34" t="s" s="13">
        <v>25</v>
      </c>
    </row>
    <row r="35" ht="20.05" customHeight="1">
      <c r="A35" t="s" s="14">
        <v>48</v>
      </c>
      <c r="B35" s="15">
        <v>46461</v>
      </c>
      <c r="C35" t="s" s="13">
        <v>11</v>
      </c>
      <c r="D35" t="s" s="13">
        <v>25</v>
      </c>
    </row>
    <row r="36" ht="20.05" customHeight="1">
      <c r="A36" t="s" s="14">
        <v>49</v>
      </c>
      <c r="B36" s="15">
        <v>46476</v>
      </c>
      <c r="C36" t="s" s="16">
        <v>13</v>
      </c>
      <c r="D36" t="s" s="13">
        <v>25</v>
      </c>
    </row>
    <row r="37" ht="20.05" customHeight="1">
      <c r="A37" t="s" s="14">
        <v>50</v>
      </c>
      <c r="B37" s="15">
        <v>46476</v>
      </c>
      <c r="C37" t="s" s="16">
        <v>13</v>
      </c>
      <c r="D37" t="s" s="13">
        <v>25</v>
      </c>
    </row>
    <row r="38" ht="20.05" customHeight="1">
      <c r="A38" t="s" s="14">
        <v>51</v>
      </c>
      <c r="B38" s="15">
        <v>46477</v>
      </c>
      <c r="C38" t="s" s="16">
        <v>13</v>
      </c>
      <c r="D38" t="s" s="13">
        <v>25</v>
      </c>
    </row>
    <row r="39" ht="20.05" customHeight="1">
      <c r="A39" t="s" s="14">
        <v>52</v>
      </c>
      <c r="B39" s="15">
        <v>46492</v>
      </c>
      <c r="C39" t="s" s="13">
        <v>11</v>
      </c>
      <c r="D39" t="s" s="13">
        <v>25</v>
      </c>
    </row>
    <row r="40" ht="20.05" customHeight="1">
      <c r="A40" t="s" s="14">
        <v>53</v>
      </c>
      <c r="B40" s="12">
        <v>46508</v>
      </c>
      <c r="C40" t="s" s="16">
        <v>13</v>
      </c>
      <c r="D40" t="s" s="13">
        <v>25</v>
      </c>
    </row>
    <row r="41" ht="20.05" customHeight="1">
      <c r="A41" t="s" s="14">
        <v>54</v>
      </c>
      <c r="B41" s="15">
        <v>46537</v>
      </c>
      <c r="C41" t="s" s="13">
        <v>16</v>
      </c>
      <c r="D41" t="s" s="13">
        <v>25</v>
      </c>
    </row>
    <row r="42" ht="20.05" customHeight="1">
      <c r="A42" t="s" s="14">
        <v>55</v>
      </c>
      <c r="B42" s="15">
        <v>46598</v>
      </c>
      <c r="C42" t="s" s="13">
        <v>16</v>
      </c>
      <c r="D42" t="s" s="13">
        <v>25</v>
      </c>
    </row>
    <row r="43" ht="20.05" customHeight="1">
      <c r="A43" t="s" s="14">
        <v>56</v>
      </c>
      <c r="B43" s="15">
        <v>46629</v>
      </c>
      <c r="C43" t="s" s="13">
        <v>11</v>
      </c>
      <c r="D43" t="s" s="13">
        <v>25</v>
      </c>
    </row>
    <row r="44" ht="20.05" customHeight="1">
      <c r="A44" s="17"/>
      <c r="B44" s="18"/>
      <c r="C44" s="19"/>
      <c r="D44" s="20"/>
    </row>
    <row r="45" ht="20.05" customHeight="1">
      <c r="A45" s="17"/>
      <c r="B45" s="18"/>
      <c r="C45" s="19"/>
      <c r="D45" s="20"/>
    </row>
    <row r="46" ht="20.05" customHeight="1">
      <c r="A46" s="17"/>
      <c r="B46" s="18"/>
      <c r="C46" s="19"/>
      <c r="D46" s="20"/>
    </row>
    <row r="47" ht="20.05" customHeight="1">
      <c r="A47" s="17"/>
      <c r="B47" s="18"/>
      <c r="C47" s="19"/>
      <c r="D47" s="20"/>
    </row>
    <row r="48" ht="20.05" customHeight="1">
      <c r="A48" s="17"/>
      <c r="B48" s="18"/>
      <c r="C48" s="19"/>
      <c r="D48" s="20"/>
    </row>
    <row r="49" ht="20.05" customHeight="1">
      <c r="A49" s="17"/>
      <c r="B49" s="18"/>
      <c r="C49" s="19"/>
      <c r="D49" s="20"/>
    </row>
    <row r="50" ht="20.05" customHeight="1">
      <c r="A50" s="17"/>
      <c r="B50" s="18"/>
      <c r="C50" s="19"/>
      <c r="D50" s="20"/>
    </row>
    <row r="51" ht="20.05" customHeight="1">
      <c r="A51" s="17"/>
      <c r="B51" s="18"/>
      <c r="C51" s="19"/>
      <c r="D51" s="20"/>
    </row>
    <row r="52" ht="20.05" customHeight="1">
      <c r="A52" s="17"/>
      <c r="B52" s="18"/>
      <c r="C52" s="19"/>
      <c r="D52" s="20"/>
    </row>
    <row r="53" ht="20.05" customHeight="1">
      <c r="A53" s="17"/>
      <c r="B53" s="18"/>
      <c r="C53" s="19"/>
      <c r="D53" s="20"/>
    </row>
    <row r="54" ht="20.05" customHeight="1">
      <c r="A54" s="17"/>
      <c r="B54" s="18"/>
      <c r="C54" s="19"/>
      <c r="D54" s="20"/>
    </row>
    <row r="55" ht="20.05" customHeight="1">
      <c r="A55" s="17"/>
      <c r="B55" s="18"/>
      <c r="C55" s="19"/>
      <c r="D55" s="20"/>
    </row>
    <row r="56" ht="20.05" customHeight="1">
      <c r="A56" s="17"/>
      <c r="B56" s="18"/>
      <c r="C56" s="19"/>
      <c r="D56" s="20"/>
    </row>
    <row r="57" ht="20.05" customHeight="1">
      <c r="A57" s="17"/>
      <c r="B57" s="18"/>
      <c r="C57" s="19"/>
      <c r="D57" s="20"/>
    </row>
    <row r="58" ht="20.05" customHeight="1">
      <c r="A58" s="17"/>
      <c r="B58" s="18"/>
      <c r="C58" s="19"/>
      <c r="D58" s="20"/>
    </row>
    <row r="59" ht="20.05" customHeight="1">
      <c r="A59" s="17"/>
      <c r="B59" s="18"/>
      <c r="C59" s="19"/>
      <c r="D59" s="20"/>
    </row>
    <row r="60" ht="20.05" customHeight="1">
      <c r="A60" s="17"/>
      <c r="B60" s="18"/>
      <c r="C60" s="19"/>
      <c r="D60" s="20"/>
    </row>
    <row r="61" ht="20.05" customHeight="1">
      <c r="A61" s="17"/>
      <c r="B61" s="18"/>
      <c r="C61" s="19"/>
      <c r="D61" s="20"/>
    </row>
    <row r="62" ht="20.05" customHeight="1">
      <c r="A62" s="17"/>
      <c r="B62" s="18"/>
      <c r="C62" s="19"/>
      <c r="D62" s="20"/>
    </row>
    <row r="63" ht="20.05" customHeight="1">
      <c r="A63" s="17"/>
      <c r="B63" s="18"/>
      <c r="C63" s="19"/>
      <c r="D63" s="20"/>
    </row>
    <row r="64" ht="20.05" customHeight="1">
      <c r="A64" s="17"/>
      <c r="B64" s="18"/>
      <c r="C64" s="19"/>
      <c r="D64" s="20"/>
    </row>
    <row r="65" ht="20.05" customHeight="1">
      <c r="A65" s="17"/>
      <c r="B65" s="18"/>
      <c r="C65" s="19"/>
      <c r="D65" s="20"/>
    </row>
    <row r="66" ht="20.05" customHeight="1">
      <c r="A66" s="17"/>
      <c r="B66" s="18"/>
      <c r="C66" s="19"/>
      <c r="D66" s="20"/>
    </row>
    <row r="67" ht="20.05" customHeight="1">
      <c r="A67" s="17"/>
      <c r="B67" s="18"/>
      <c r="C67" s="19"/>
      <c r="D67" s="20"/>
    </row>
    <row r="68" ht="20.05" customHeight="1">
      <c r="A68" s="17"/>
      <c r="B68" s="18"/>
      <c r="C68" s="19"/>
      <c r="D68" s="20"/>
    </row>
    <row r="69" ht="20.05" customHeight="1">
      <c r="A69" s="17"/>
      <c r="B69" s="18"/>
      <c r="C69" s="19"/>
      <c r="D69" s="20"/>
    </row>
    <row r="70" ht="20.05" customHeight="1">
      <c r="A70" s="17"/>
      <c r="B70" s="18"/>
      <c r="C70" s="19"/>
      <c r="D70" s="20"/>
    </row>
    <row r="71" ht="20.05" customHeight="1">
      <c r="A71" s="17"/>
      <c r="B71" s="18"/>
      <c r="C71" s="19"/>
      <c r="D71" s="20"/>
    </row>
    <row r="72" ht="20.05" customHeight="1">
      <c r="A72" s="17"/>
      <c r="B72" s="18"/>
      <c r="C72" s="19"/>
      <c r="D72" s="20"/>
    </row>
    <row r="73" ht="20.05" customHeight="1">
      <c r="A73" s="17"/>
      <c r="B73" s="18"/>
      <c r="C73" s="19"/>
      <c r="D73" s="20"/>
    </row>
    <row r="74" ht="20.05" customHeight="1">
      <c r="A74" s="17"/>
      <c r="B74" s="18"/>
      <c r="C74" s="19"/>
      <c r="D74" s="20"/>
    </row>
    <row r="75" ht="20.05" customHeight="1">
      <c r="A75" s="17"/>
      <c r="B75" s="18"/>
      <c r="C75" s="19"/>
      <c r="D75" s="20"/>
    </row>
    <row r="76" ht="20.05" customHeight="1">
      <c r="A76" s="17"/>
      <c r="B76" s="18"/>
      <c r="C76" s="19"/>
      <c r="D76" s="20"/>
    </row>
    <row r="77" ht="20.05" customHeight="1">
      <c r="A77" s="17"/>
      <c r="B77" s="18"/>
      <c r="C77" s="19"/>
      <c r="D77" s="20"/>
    </row>
    <row r="78" ht="20.05" customHeight="1">
      <c r="A78" s="17"/>
      <c r="B78" s="18"/>
      <c r="C78" s="19"/>
      <c r="D78" s="20"/>
    </row>
    <row r="79" ht="20.05" customHeight="1">
      <c r="A79" s="17"/>
      <c r="B79" s="18"/>
      <c r="C79" s="19"/>
      <c r="D79" s="20"/>
    </row>
    <row r="80" ht="20.25" customHeight="1">
      <c r="A80" s="21"/>
      <c r="B80" s="22"/>
      <c r="C80" s="23"/>
      <c r="D80" s="24"/>
    </row>
    <row r="81" ht="20.25" customHeight="1">
      <c r="A81" t="s" s="25">
        <v>57</v>
      </c>
      <c r="B81" s="26" cm="1">
        <f t="array" ref="B81">COUNTA($C$2:$C$41)-COUNTIF($C$2:$C$41,"Terminé")</f>
        <v>40</v>
      </c>
      <c r="C81" t="s" s="27">
        <v>58</v>
      </c>
      <c r="D81" s="28" cm="1">
        <f t="array" ref="D81">_xlfn.IFERROR(COUNTIF($D$2:$D$80,"Terminé")/COUNTA($D$2:$D$80),0%)</f>
        <v>0.238095238095238</v>
      </c>
    </row>
  </sheetData>
  <conditionalFormatting sqref="D2:D80">
    <cfRule type="cellIs" dxfId="0" priority="1" operator="equal" stopIfTrue="1">
      <formula>"Terminé"</formula>
    </cfRule>
    <cfRule type="cellIs" dxfId="1" priority="2" operator="equal" stopIfTrue="1">
      <formula>"En cours"</formula>
    </cfRule>
    <cfRule type="cellIs" dxfId="2" priority="3" operator="equal" stopIfTrue="1">
      <formula>"Non commencé"</formula>
    </cfRule>
  </conditionalFormatting>
  <dataValidations count="1">
    <dataValidation type="list" allowBlank="1" showInputMessage="1" showErrorMessage="1" sqref="D2:D80">
      <formula1>",Non commencé,En cours,Terminé"</formula1>
    </dataValidation>
  </dataValidation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G4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3" width="16.3516" style="29" customWidth="1"/>
    <col min="4" max="4" width="72.2422" style="29" customWidth="1"/>
    <col min="5" max="5" width="43.8516" style="29" customWidth="1"/>
    <col min="6" max="6" width="27.2344" style="29" customWidth="1"/>
    <col min="7" max="7" width="78.3984" style="29" customWidth="1"/>
    <col min="8" max="16384" width="16.3516" style="29" customWidth="1"/>
  </cols>
  <sheetData>
    <row r="1" ht="20.05" customHeight="1">
      <c r="A1" t="s" s="30">
        <v>60</v>
      </c>
      <c r="B1" s="31"/>
      <c r="C1" s="31"/>
      <c r="D1" s="31"/>
      <c r="E1" s="31"/>
      <c r="F1" s="31"/>
      <c r="G1" s="31"/>
    </row>
    <row r="2" ht="20.25" customHeight="1">
      <c r="A2" t="s" s="32">
        <v>61</v>
      </c>
      <c r="B2" t="s" s="32">
        <v>62</v>
      </c>
      <c r="C2" t="s" s="32">
        <v>63</v>
      </c>
      <c r="D2" t="s" s="32">
        <v>64</v>
      </c>
      <c r="E2" t="s" s="32">
        <v>8</v>
      </c>
      <c r="F2" t="s" s="32">
        <v>65</v>
      </c>
      <c r="G2" t="s" s="32">
        <v>66</v>
      </c>
    </row>
    <row r="3" ht="20.25" customHeight="1">
      <c r="A3" t="s" s="33">
        <v>67</v>
      </c>
      <c r="B3" t="s" s="34">
        <v>68</v>
      </c>
      <c r="C3" t="s" s="35">
        <v>68</v>
      </c>
      <c r="D3" t="s" s="35">
        <v>69</v>
      </c>
      <c r="E3" t="s" s="35">
        <v>70</v>
      </c>
      <c r="F3" t="s" s="35">
        <v>71</v>
      </c>
      <c r="G3" s="36"/>
    </row>
    <row r="4" ht="20.05" customHeight="1">
      <c r="A4" s="37"/>
      <c r="B4" t="s" s="38">
        <v>72</v>
      </c>
      <c r="C4" t="s" s="39">
        <v>73</v>
      </c>
      <c r="D4" t="s" s="39">
        <v>74</v>
      </c>
      <c r="E4" t="s" s="39">
        <v>75</v>
      </c>
      <c r="F4" t="s" s="39">
        <v>76</v>
      </c>
      <c r="G4" s="40"/>
    </row>
    <row r="5" ht="20.05" customHeight="1">
      <c r="A5" s="37"/>
      <c r="B5" t="s" s="38">
        <v>73</v>
      </c>
      <c r="C5" t="s" s="39">
        <v>77</v>
      </c>
      <c r="D5" t="s" s="39">
        <v>78</v>
      </c>
      <c r="E5" t="s" s="39">
        <v>79</v>
      </c>
      <c r="F5" t="s" s="39">
        <v>80</v>
      </c>
      <c r="G5" s="40"/>
    </row>
    <row r="6" ht="20.05" customHeight="1">
      <c r="A6" s="37"/>
      <c r="B6" t="s" s="38">
        <v>77</v>
      </c>
      <c r="C6" t="s" s="39">
        <v>81</v>
      </c>
      <c r="D6" t="s" s="39">
        <v>82</v>
      </c>
      <c r="E6" t="s" s="39">
        <v>70</v>
      </c>
      <c r="F6" t="s" s="39">
        <v>83</v>
      </c>
      <c r="G6" s="40"/>
    </row>
    <row r="7" ht="20.05" customHeight="1">
      <c r="A7" s="37"/>
      <c r="B7" t="s" s="38">
        <v>84</v>
      </c>
      <c r="C7" t="s" s="39">
        <v>84</v>
      </c>
      <c r="D7" t="s" s="39">
        <v>85</v>
      </c>
      <c r="E7" t="s" s="39">
        <v>75</v>
      </c>
      <c r="F7" t="s" s="39">
        <v>83</v>
      </c>
      <c r="G7" s="40"/>
    </row>
    <row r="8" ht="20.05" customHeight="1">
      <c r="A8" s="37"/>
      <c r="B8" t="s" s="38">
        <v>86</v>
      </c>
      <c r="C8" t="s" s="39">
        <v>87</v>
      </c>
      <c r="D8" t="s" s="39">
        <v>88</v>
      </c>
      <c r="E8" t="s" s="39">
        <v>89</v>
      </c>
      <c r="F8" t="s" s="39">
        <v>83</v>
      </c>
      <c r="G8" s="40"/>
    </row>
    <row r="9" ht="20.05" customHeight="1">
      <c r="A9" t="s" s="14">
        <v>90</v>
      </c>
      <c r="B9" t="s" s="38">
        <v>91</v>
      </c>
      <c r="C9" t="s" s="39">
        <v>91</v>
      </c>
      <c r="D9" t="s" s="39">
        <v>92</v>
      </c>
      <c r="E9" t="s" s="39">
        <v>93</v>
      </c>
      <c r="F9" t="s" s="39">
        <v>83</v>
      </c>
      <c r="G9" s="40"/>
    </row>
    <row r="10" ht="20.05" customHeight="1">
      <c r="A10" s="37"/>
      <c r="B10" t="s" s="38">
        <v>94</v>
      </c>
      <c r="C10" t="s" s="39">
        <v>95</v>
      </c>
      <c r="D10" t="s" s="39">
        <v>96</v>
      </c>
      <c r="E10" t="s" s="39">
        <v>97</v>
      </c>
      <c r="F10" t="s" s="39">
        <v>83</v>
      </c>
      <c r="G10" s="40"/>
    </row>
    <row r="11" ht="20.05" customHeight="1">
      <c r="A11" s="37"/>
      <c r="B11" t="s" s="38">
        <v>95</v>
      </c>
      <c r="C11" t="s" s="39">
        <v>95</v>
      </c>
      <c r="D11" t="s" s="39">
        <v>98</v>
      </c>
      <c r="E11" t="s" s="39">
        <v>99</v>
      </c>
      <c r="F11" t="s" s="39">
        <v>83</v>
      </c>
      <c r="G11" s="40"/>
    </row>
    <row r="12" ht="20.05" customHeight="1">
      <c r="A12" s="37"/>
      <c r="B12" t="s" s="38">
        <v>95</v>
      </c>
      <c r="C12" t="s" s="39">
        <v>100</v>
      </c>
      <c r="D12" t="s" s="39">
        <v>101</v>
      </c>
      <c r="E12" t="s" s="39">
        <v>102</v>
      </c>
      <c r="F12" t="s" s="39">
        <v>83</v>
      </c>
      <c r="G12" s="40"/>
    </row>
    <row r="13" ht="20.05" customHeight="1">
      <c r="A13" s="37"/>
      <c r="B13" t="s" s="38">
        <v>95</v>
      </c>
      <c r="C13" t="s" s="39">
        <v>72</v>
      </c>
      <c r="D13" t="s" s="39">
        <v>103</v>
      </c>
      <c r="E13" t="s" s="39">
        <v>104</v>
      </c>
      <c r="F13" t="s" s="39">
        <v>83</v>
      </c>
      <c r="G13" s="40"/>
    </row>
    <row r="14" ht="20.05" customHeight="1">
      <c r="A14" s="37"/>
      <c r="B14" t="s" s="38">
        <v>105</v>
      </c>
      <c r="C14" t="s" s="39">
        <v>106</v>
      </c>
      <c r="D14" t="s" s="39">
        <v>107</v>
      </c>
      <c r="E14" t="s" s="39">
        <v>108</v>
      </c>
      <c r="F14" t="s" s="39">
        <v>83</v>
      </c>
      <c r="G14" s="40"/>
    </row>
    <row r="15" ht="20.05" customHeight="1">
      <c r="A15" s="37"/>
      <c r="B15" t="s" s="38">
        <v>77</v>
      </c>
      <c r="C15" t="s" s="39">
        <v>77</v>
      </c>
      <c r="D15" t="s" s="39">
        <v>109</v>
      </c>
      <c r="E15" t="s" s="39">
        <v>75</v>
      </c>
      <c r="F15" t="s" s="39">
        <v>83</v>
      </c>
      <c r="G15" s="40"/>
    </row>
    <row r="16" ht="20.35" customHeight="1">
      <c r="A16" s="37"/>
      <c r="B16" t="s" s="38">
        <v>110</v>
      </c>
      <c r="C16" t="s" s="39">
        <v>110</v>
      </c>
      <c r="D16" t="s" s="39">
        <v>111</v>
      </c>
      <c r="E16" t="s" s="39">
        <v>112</v>
      </c>
      <c r="F16" t="s" s="39">
        <v>113</v>
      </c>
      <c r="G16" s="40"/>
    </row>
    <row r="17" ht="20.05" customHeight="1">
      <c r="A17" s="37"/>
      <c r="B17" t="s" s="38">
        <v>110</v>
      </c>
      <c r="C17" t="s" s="39">
        <v>114</v>
      </c>
      <c r="D17" t="s" s="39">
        <v>115</v>
      </c>
      <c r="E17" t="s" s="39">
        <v>99</v>
      </c>
      <c r="F17" t="s" s="39">
        <v>116</v>
      </c>
      <c r="G17" s="40"/>
    </row>
    <row r="18" ht="20.05" customHeight="1">
      <c r="A18" s="37"/>
      <c r="B18" t="s" s="38">
        <v>114</v>
      </c>
      <c r="C18" t="s" s="39">
        <v>114</v>
      </c>
      <c r="D18" t="s" s="39">
        <v>117</v>
      </c>
      <c r="E18" t="s" s="39">
        <v>118</v>
      </c>
      <c r="F18" t="s" s="39">
        <v>116</v>
      </c>
      <c r="G18" s="40"/>
    </row>
    <row r="19" ht="20.05" customHeight="1">
      <c r="A19" s="37"/>
      <c r="B19" s="41">
        <v>46243.621527777781</v>
      </c>
      <c r="C19" s="42">
        <v>46243.625</v>
      </c>
      <c r="D19" t="s" s="39">
        <v>119</v>
      </c>
      <c r="E19" t="s" s="39">
        <v>120</v>
      </c>
      <c r="F19" t="s" s="39">
        <v>116</v>
      </c>
      <c r="G19" s="40"/>
    </row>
    <row r="20" ht="20.05" customHeight="1">
      <c r="A20" s="37"/>
      <c r="B20" t="s" s="38">
        <v>121</v>
      </c>
      <c r="C20" t="s" s="39">
        <v>122</v>
      </c>
      <c r="D20" t="s" s="39">
        <v>123</v>
      </c>
      <c r="E20" s="40"/>
      <c r="F20" t="s" s="39">
        <v>116</v>
      </c>
      <c r="G20" s="40"/>
    </row>
    <row r="21" ht="20.05" customHeight="1">
      <c r="A21" s="37"/>
      <c r="B21" t="s" s="38">
        <v>122</v>
      </c>
      <c r="C21" t="s" s="39">
        <v>124</v>
      </c>
      <c r="D21" t="s" s="39">
        <v>125</v>
      </c>
      <c r="E21" t="s" s="39">
        <v>126</v>
      </c>
      <c r="F21" t="s" s="39">
        <v>127</v>
      </c>
      <c r="G21" s="40"/>
    </row>
    <row r="22" ht="20.05" customHeight="1">
      <c r="A22" s="37"/>
      <c r="B22" t="s" s="38">
        <v>124</v>
      </c>
      <c r="C22" s="42">
        <v>46243.708333333336</v>
      </c>
      <c r="D22" t="s" s="39">
        <v>128</v>
      </c>
      <c r="E22" s="40"/>
      <c r="F22" s="40"/>
      <c r="G22" s="40"/>
    </row>
    <row r="23" ht="20.05" customHeight="1">
      <c r="A23" s="37"/>
      <c r="B23" s="41">
        <v>46243.708333333336</v>
      </c>
      <c r="C23" s="42">
        <v>46243.729166666664</v>
      </c>
      <c r="D23" t="s" s="39">
        <v>129</v>
      </c>
      <c r="E23" t="s" s="39">
        <v>130</v>
      </c>
      <c r="F23" s="40"/>
      <c r="G23" s="40"/>
    </row>
    <row r="24" ht="20.05" customHeight="1">
      <c r="A24" s="37"/>
      <c r="B24" s="41">
        <v>46243.729166666664</v>
      </c>
      <c r="C24" s="42">
        <v>46243.75</v>
      </c>
      <c r="D24" t="s" s="39">
        <v>131</v>
      </c>
      <c r="E24" t="s" s="39">
        <v>126</v>
      </c>
      <c r="F24" s="40"/>
      <c r="G24" s="40"/>
    </row>
    <row r="25" ht="20.05" customHeight="1">
      <c r="A25" s="37"/>
      <c r="B25" s="41">
        <v>46243.75</v>
      </c>
      <c r="C25" t="s" s="39">
        <v>132</v>
      </c>
      <c r="D25" t="s" s="39">
        <v>133</v>
      </c>
      <c r="E25" t="s" s="39">
        <v>134</v>
      </c>
      <c r="F25" t="s" s="39">
        <v>83</v>
      </c>
      <c r="G25" s="40"/>
    </row>
    <row r="26" ht="20.05" customHeight="1">
      <c r="A26" s="37"/>
      <c r="B26" t="s" s="38">
        <v>132</v>
      </c>
      <c r="C26" s="42">
        <v>46243.833333333336</v>
      </c>
      <c r="D26" t="s" s="39">
        <v>135</v>
      </c>
      <c r="E26" t="s" s="39">
        <v>130</v>
      </c>
      <c r="F26" t="s" s="39">
        <v>83</v>
      </c>
      <c r="G26" s="40"/>
    </row>
    <row r="27" ht="20.05" customHeight="1">
      <c r="A27" s="37"/>
      <c r="B27" t="s" s="38">
        <v>136</v>
      </c>
      <c r="C27" t="s" s="39">
        <v>87</v>
      </c>
      <c r="D27" t="s" s="39">
        <v>137</v>
      </c>
      <c r="E27" t="s" s="39">
        <v>138</v>
      </c>
      <c r="F27" t="s" s="39">
        <v>83</v>
      </c>
      <c r="G27" s="40"/>
    </row>
    <row r="28" ht="20.05" customHeight="1">
      <c r="A28" s="37"/>
      <c r="B28" s="41">
        <v>46244.895833333336</v>
      </c>
      <c r="C28" s="42">
        <v>46244.916666666664</v>
      </c>
      <c r="D28" t="s" s="39">
        <v>139</v>
      </c>
      <c r="E28" s="40"/>
      <c r="F28" s="40"/>
      <c r="G28" s="40"/>
    </row>
    <row r="29" ht="20.05" customHeight="1">
      <c r="A29" s="37"/>
      <c r="B29" t="s" s="38">
        <v>87</v>
      </c>
      <c r="C29" t="s" s="39">
        <v>140</v>
      </c>
      <c r="D29" t="s" s="39">
        <v>141</v>
      </c>
      <c r="E29" t="s" s="39">
        <v>142</v>
      </c>
      <c r="F29" t="s" s="39">
        <v>83</v>
      </c>
      <c r="G29" s="40"/>
    </row>
    <row r="30" ht="20.05" customHeight="1">
      <c r="A30" s="37"/>
      <c r="B30" t="s" s="38">
        <v>140</v>
      </c>
      <c r="C30" t="s" s="39">
        <v>143</v>
      </c>
      <c r="D30" t="s" s="39">
        <v>144</v>
      </c>
      <c r="E30" t="s" s="39">
        <v>145</v>
      </c>
      <c r="F30" t="s" s="39">
        <v>83</v>
      </c>
      <c r="G30" s="40"/>
    </row>
    <row r="31" ht="20.05" customHeight="1">
      <c r="A31" s="37"/>
      <c r="B31" t="s" s="38">
        <v>143</v>
      </c>
      <c r="C31" t="s" s="39">
        <v>146</v>
      </c>
      <c r="D31" t="s" s="39">
        <v>147</v>
      </c>
      <c r="E31" t="s" s="39">
        <v>148</v>
      </c>
      <c r="F31" t="s" s="39">
        <v>83</v>
      </c>
      <c r="G31" s="40"/>
    </row>
    <row r="32" ht="20.05" customHeight="1">
      <c r="A32" s="37"/>
      <c r="B32" t="s" s="38">
        <v>146</v>
      </c>
      <c r="C32" t="s" s="39">
        <v>149</v>
      </c>
      <c r="D32" t="s" s="39">
        <v>150</v>
      </c>
      <c r="E32" t="s" s="39">
        <v>142</v>
      </c>
      <c r="F32" t="s" s="39">
        <v>83</v>
      </c>
      <c r="G32" s="40"/>
    </row>
    <row r="33" ht="20.05" customHeight="1">
      <c r="A33" s="37"/>
      <c r="B33" s="41">
        <v>46243.1875</v>
      </c>
      <c r="C33" s="43"/>
      <c r="D33" t="s" s="39">
        <v>151</v>
      </c>
      <c r="E33" t="s" s="39">
        <v>142</v>
      </c>
      <c r="F33" t="s" s="39">
        <v>83</v>
      </c>
      <c r="G33" s="40"/>
    </row>
    <row r="34" ht="20.05" customHeight="1">
      <c r="A34" s="37"/>
      <c r="B34" t="s" s="38">
        <v>149</v>
      </c>
      <c r="C34" t="s" s="39">
        <v>152</v>
      </c>
      <c r="D34" t="s" s="39">
        <v>153</v>
      </c>
      <c r="E34" s="40"/>
      <c r="F34" t="s" s="39">
        <v>83</v>
      </c>
      <c r="G34" s="40"/>
    </row>
    <row r="35" ht="20.05" customHeight="1">
      <c r="A35" t="s" s="14">
        <v>154</v>
      </c>
      <c r="B35" t="s" s="38">
        <v>95</v>
      </c>
      <c r="C35" t="s" s="39">
        <v>72</v>
      </c>
      <c r="D35" t="s" s="39">
        <v>155</v>
      </c>
      <c r="E35" t="s" s="39">
        <v>156</v>
      </c>
      <c r="F35" t="s" s="39">
        <v>83</v>
      </c>
      <c r="G35" s="40"/>
    </row>
    <row r="36" ht="20.05" customHeight="1">
      <c r="A36" s="37"/>
      <c r="B36" t="s" s="38">
        <v>72</v>
      </c>
      <c r="C36" t="s" s="39">
        <v>121</v>
      </c>
      <c r="D36" t="s" s="39">
        <v>157</v>
      </c>
      <c r="E36" t="s" s="39">
        <v>158</v>
      </c>
      <c r="F36" t="s" s="39">
        <v>83</v>
      </c>
      <c r="G36" s="40"/>
    </row>
    <row r="37" ht="20.05" customHeight="1">
      <c r="A37" s="37"/>
      <c r="B37" t="s" s="38">
        <v>121</v>
      </c>
      <c r="C37" t="s" s="39">
        <v>81</v>
      </c>
      <c r="D37" t="s" s="39">
        <v>159</v>
      </c>
      <c r="E37" t="s" s="39">
        <v>160</v>
      </c>
      <c r="F37" t="s" s="39">
        <v>83</v>
      </c>
      <c r="G37" s="40"/>
    </row>
    <row r="38" ht="20.05" customHeight="1">
      <c r="A38" s="37"/>
      <c r="B38" t="s" s="38">
        <v>81</v>
      </c>
      <c r="C38" t="s" s="39">
        <v>122</v>
      </c>
      <c r="D38" t="s" s="39">
        <v>161</v>
      </c>
      <c r="E38" t="s" s="39">
        <v>162</v>
      </c>
      <c r="F38" t="s" s="39">
        <v>83</v>
      </c>
      <c r="G38" s="40"/>
    </row>
    <row r="39" ht="20.05" customHeight="1">
      <c r="A39" s="37"/>
      <c r="B39" t="s" s="38">
        <v>122</v>
      </c>
      <c r="C39" t="s" s="39">
        <v>163</v>
      </c>
      <c r="D39" t="s" s="39">
        <v>164</v>
      </c>
      <c r="E39" t="s" s="39">
        <v>165</v>
      </c>
      <c r="F39" t="s" s="39">
        <v>83</v>
      </c>
      <c r="G39" s="40"/>
    </row>
    <row r="40" ht="20.05" customHeight="1">
      <c r="A40" s="37"/>
      <c r="B40" t="s" s="38">
        <v>163</v>
      </c>
      <c r="C40" t="s" s="39">
        <v>166</v>
      </c>
      <c r="D40" t="s" s="39">
        <v>167</v>
      </c>
      <c r="E40" t="s" s="39">
        <v>75</v>
      </c>
      <c r="F40" t="s" s="39">
        <v>83</v>
      </c>
      <c r="G40" s="40"/>
    </row>
    <row r="41" ht="20.05" customHeight="1">
      <c r="A41" s="37"/>
      <c r="B41" t="s" s="38">
        <v>168</v>
      </c>
      <c r="C41" t="s" s="39">
        <v>168</v>
      </c>
      <c r="D41" t="s" s="39">
        <v>169</v>
      </c>
      <c r="E41" t="s" s="39">
        <v>75</v>
      </c>
      <c r="F41" t="s" s="39">
        <v>83</v>
      </c>
      <c r="G41" s="40"/>
    </row>
  </sheetData>
  <mergeCells count="5">
    <mergeCell ref="A35:A41"/>
    <mergeCell ref="A3:A8"/>
    <mergeCell ref="A9:A34"/>
    <mergeCell ref="A1:G1"/>
    <mergeCell ref="B33:C33"/>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F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3.4922" style="44" customWidth="1"/>
    <col min="2" max="6" width="16.3516" style="44" customWidth="1"/>
    <col min="7" max="16384" width="16.3516" style="44" customWidth="1"/>
  </cols>
  <sheetData>
    <row r="1" ht="27.65" customHeight="1">
      <c r="A1" t="s" s="45">
        <v>170</v>
      </c>
      <c r="B1" s="45"/>
      <c r="C1" s="45"/>
      <c r="D1" s="45"/>
      <c r="E1" s="45"/>
      <c r="F1" s="45"/>
    </row>
    <row r="2" ht="20.25" customHeight="1">
      <c r="A2" t="s" s="46">
        <v>172</v>
      </c>
      <c r="B2" t="s" s="32">
        <v>173</v>
      </c>
      <c r="C2" t="s" s="32">
        <v>174</v>
      </c>
      <c r="D2" t="s" s="32">
        <v>175</v>
      </c>
      <c r="E2" t="s" s="32">
        <v>176</v>
      </c>
      <c r="F2" t="s" s="32">
        <v>175</v>
      </c>
    </row>
    <row r="3" ht="20.25" customHeight="1">
      <c r="A3" t="s" s="47">
        <v>177</v>
      </c>
      <c r="B3" s="48">
        <v>12000</v>
      </c>
      <c r="C3" s="49" cm="1">
        <f t="array" ref="C3">'Repas - Tableau 1'!C$34</f>
        <v>16904.911</v>
      </c>
      <c r="D3" s="50" cm="1">
        <f t="array" ref="D3">_xlfn.IFERROR(C3/B3-1,0)</f>
        <v>0.408742583333333</v>
      </c>
      <c r="E3" s="51" cm="1">
        <f t="array" ref="E3">SUMIF('Budget - Dépenses réelles'!A3:A31,$A3,'Budget - Dépenses réelles'!D3:D31)</f>
        <v>284</v>
      </c>
      <c r="F3" s="50" cm="1">
        <f t="array" ref="F3">_xlfn.IFERROR(E3/C3-1,0)</f>
        <v>-0.983200148169961</v>
      </c>
    </row>
    <row r="4" ht="20.05" customHeight="1">
      <c r="A4" t="s" s="52">
        <v>178</v>
      </c>
      <c r="B4" s="53">
        <v>10000</v>
      </c>
      <c r="C4" s="54" cm="1">
        <f t="array" ref="C4">'Lieu'!M4</f>
        <v>13933.2</v>
      </c>
      <c r="D4" s="55" cm="1">
        <f t="array" ref="D4">_xlfn.IFERROR(C4/B4-1,0)</f>
        <v>0.39332</v>
      </c>
      <c r="E4" s="56" cm="1">
        <f t="array" ref="E4">SUMIF('Budget - Dépenses réelles'!A3:A31,$A4,'Budget - Dépenses réelles'!D3:D31)</f>
        <v>6000</v>
      </c>
      <c r="F4" s="55" cm="1">
        <f t="array" ref="F4">_xlfn.IFERROR(E4/C4-1,0)</f>
        <v>-0.569373869606408</v>
      </c>
    </row>
    <row r="5" ht="20.05" customHeight="1">
      <c r="A5" t="s" s="52">
        <v>179</v>
      </c>
      <c r="B5" s="53">
        <v>2000</v>
      </c>
      <c r="C5" s="54" cm="1">
        <f t="array" ref="C5">'Habillement'!B$14</f>
        <v>7030</v>
      </c>
      <c r="D5" s="55" cm="1">
        <f t="array" ref="D5">_xlfn.IFERROR(C5/B5-1,0)</f>
        <v>2.515</v>
      </c>
      <c r="E5" s="56" cm="1">
        <f t="array" ref="E5">SUMIF('Budget - Dépenses réelles'!A3:A31,$A5,'Budget - Dépenses réelles'!D3:D31)</f>
        <v>0</v>
      </c>
      <c r="F5" s="55" cm="1">
        <f t="array" ref="F5">_xlfn.IFERROR(E5/C5-1,0)</f>
        <v>-1</v>
      </c>
    </row>
    <row r="6" ht="20.05" customHeight="1">
      <c r="A6" t="s" s="52">
        <v>180</v>
      </c>
      <c r="B6" s="53">
        <v>10000</v>
      </c>
      <c r="C6" s="54" cm="1">
        <f t="array" ref="C6">'Lune de miel'!B$5</f>
        <v>5000</v>
      </c>
      <c r="D6" s="55" cm="1">
        <f t="array" ref="D6">_xlfn.IFERROR(C6/B6-1,0)</f>
        <v>-0.5</v>
      </c>
      <c r="E6" s="56" cm="1">
        <f t="array" ref="E6">SUMIF('Budget - Dépenses réelles'!A3:A31,$A6,'Budget - Dépenses réelles'!D3:D31)</f>
        <v>0</v>
      </c>
      <c r="F6" s="55" cm="1">
        <f t="array" ref="F6">_xlfn.IFERROR(E6/C6-1,0)</f>
        <v>-1</v>
      </c>
    </row>
    <row r="7" ht="20.05" customHeight="1">
      <c r="A7" t="s" s="52">
        <v>181</v>
      </c>
      <c r="B7" s="53">
        <v>2000</v>
      </c>
      <c r="C7" s="54" cm="1">
        <f t="array" ref="C7">'Musique'!C$6</f>
        <v>3833.34</v>
      </c>
      <c r="D7" s="55" cm="1">
        <f t="array" ref="D7">_xlfn.IFERROR(C7/B7-1,0)</f>
        <v>0.91667</v>
      </c>
      <c r="E7" s="56" cm="1">
        <f t="array" ref="E7">SUMIF('Budget - Dépenses réelles'!A3:A31,$A7,'Budget - Dépenses réelles'!D3:D31)</f>
        <v>941</v>
      </c>
      <c r="F7" s="55" cm="1">
        <f t="array" ref="F7">_xlfn.IFERROR(E7/C7-1,0)</f>
        <v>-0.7545221660484071</v>
      </c>
    </row>
    <row r="8" ht="20.05" customHeight="1">
      <c r="A8" t="s" s="52">
        <v>182</v>
      </c>
      <c r="B8" s="53">
        <v>3000</v>
      </c>
      <c r="C8" s="54" cm="1">
        <f t="array" ref="C8">'Décorations - Tableau 1'!C$10</f>
        <v>2985.8</v>
      </c>
      <c r="D8" s="55" cm="1">
        <f t="array" ref="D8">_xlfn.IFERROR(C8/B8-1,0)</f>
        <v>-0.00473333333333333</v>
      </c>
      <c r="E8" s="56" cm="1">
        <f t="array" ref="E8">SUMIF('Budget - Dépenses réelles'!A3:A31,$A8,'Budget - Dépenses réelles'!D3:D31)</f>
        <v>0</v>
      </c>
      <c r="F8" s="55" cm="1">
        <f t="array" ref="F8">_xlfn.IFERROR(E8/C8-1,0)</f>
        <v>-1</v>
      </c>
    </row>
    <row r="9" ht="20.05" customHeight="1">
      <c r="A9" t="s" s="52">
        <v>183</v>
      </c>
      <c r="B9" s="53">
        <v>4000</v>
      </c>
      <c r="C9" s="54" cm="1">
        <f t="array" ref="C9">'Alliances'!B$6</f>
        <v>2430</v>
      </c>
      <c r="D9" s="55" cm="1">
        <f t="array" ref="D9">_xlfn.IFERROR(C9/B9-1,0)</f>
        <v>-0.3925</v>
      </c>
      <c r="E9" s="56" cm="1">
        <f t="array" ref="E9">SUMIF('Budget - Dépenses réelles'!A3:A31,$A9,'Budget - Dépenses réelles'!D3:D31)</f>
        <v>0</v>
      </c>
      <c r="F9" s="55" cm="1">
        <f t="array" ref="F9">_xlfn.IFERROR(E9/C9-1,0)</f>
        <v>-1</v>
      </c>
    </row>
    <row r="10" ht="20.05" customHeight="1">
      <c r="A10" t="s" s="52">
        <v>184</v>
      </c>
      <c r="B10" s="53">
        <v>1000</v>
      </c>
      <c r="C10" s="54" cm="1">
        <f t="array" ref="C10">'Activités - Tableau 1'!B$8</f>
        <v>2209</v>
      </c>
      <c r="D10" s="55" cm="1">
        <f t="array" ref="D10">_xlfn.IFERROR(C10/B10-1,0)</f>
        <v>1.209</v>
      </c>
      <c r="E10" s="56" cm="1">
        <f t="array" ref="E10">SUMIF('Budget - Dépenses réelles'!A3:A31,$A10,'Budget - Dépenses réelles'!D3:D31)</f>
        <v>479.6</v>
      </c>
      <c r="F10" s="55" cm="1">
        <f t="array" ref="F10">_xlfn.IFERROR(E10/C10-1,0)</f>
        <v>-0.782888184698959</v>
      </c>
    </row>
    <row r="11" ht="20.05" customHeight="1">
      <c r="A11" t="s" s="52">
        <v>185</v>
      </c>
      <c r="B11" s="53">
        <v>2500</v>
      </c>
      <c r="C11" s="54" cm="1">
        <f t="array" ref="C11">'Photos &amp; Vidéos - Tableau 1'!C$5</f>
        <v>2117</v>
      </c>
      <c r="D11" s="55" cm="1">
        <f t="array" ref="D11">_xlfn.IFERROR(C11/B11-1,0)</f>
        <v>-0.1532</v>
      </c>
      <c r="E11" s="56" cm="1">
        <f t="array" ref="E11">SUMIF('Budget - Dépenses réelles'!A3:A31,$A11,'Budget - Dépenses réelles'!D3:D31)</f>
        <v>106</v>
      </c>
      <c r="F11" s="55" cm="1">
        <f t="array" ref="F11">_xlfn.IFERROR(E11/C11-1,0)</f>
        <v>-0.949929145016533</v>
      </c>
    </row>
    <row r="12" ht="20.05" customHeight="1">
      <c r="A12" t="s" s="52">
        <v>186</v>
      </c>
      <c r="B12" s="53">
        <v>500</v>
      </c>
      <c r="C12" s="54" cm="1">
        <f t="array" ref="C12">'Voiture'!C$4</f>
        <v>1250</v>
      </c>
      <c r="D12" s="55" cm="1">
        <f t="array" ref="D12">_xlfn.IFERROR(C12/B12-1,0)</f>
        <v>1.5</v>
      </c>
      <c r="E12" s="56" cm="1">
        <f t="array" ref="E12">SUMIF('Budget - Dépenses réelles'!A3:A31,$A12,'Budget - Dépenses réelles'!D3:D31)</f>
        <v>190</v>
      </c>
      <c r="F12" s="55" cm="1">
        <f t="array" ref="F12">_xlfn.IFERROR(E12/C12-1,0)</f>
        <v>-0.848</v>
      </c>
    </row>
    <row r="13" ht="20.05" customHeight="1">
      <c r="A13" t="s" s="52">
        <v>187</v>
      </c>
      <c r="B13" s="53">
        <v>1500</v>
      </c>
      <c r="C13" s="54" cm="1">
        <f t="array" ref="C13">'Coiffure_Maquillage - Devis Mak'!C8</f>
        <v>830</v>
      </c>
      <c r="D13" s="55" cm="1">
        <f t="array" ref="D13">_xlfn.IFERROR(C13/B13-1,0)</f>
        <v>-0.446666666666667</v>
      </c>
      <c r="E13" s="56" cm="1">
        <f t="array" ref="E13">SUMIF('Budget - Dépenses réelles'!A3:A31,$A13,'Budget - Dépenses réelles'!D3:D31)</f>
        <v>0</v>
      </c>
      <c r="F13" s="55" cm="1">
        <f t="array" ref="F13">_xlfn.IFERROR(E13/C13-1,0)</f>
        <v>-1</v>
      </c>
    </row>
    <row r="14" ht="20.05" customHeight="1">
      <c r="A14" t="s" s="52">
        <v>123</v>
      </c>
      <c r="B14" s="53">
        <v>600</v>
      </c>
      <c r="C14" s="54">
        <v>700</v>
      </c>
      <c r="D14" s="55" cm="1">
        <f t="array" ref="D14">_xlfn.IFERROR(C14/B14-1,0)</f>
        <v>0.166666666666667</v>
      </c>
      <c r="E14" s="56" cm="1">
        <f t="array" ref="E14">SUMIF('Budget - Dépenses réelles'!A3:A31,$A14,'Budget - Dépenses réelles'!D3:D31)</f>
        <v>0</v>
      </c>
      <c r="F14" s="55" cm="1">
        <f t="array" ref="F14">_xlfn.IFERROR(E14/C14-1,0)</f>
        <v>-1</v>
      </c>
    </row>
    <row r="15" ht="20.05" customHeight="1">
      <c r="A15" t="s" s="52">
        <v>188</v>
      </c>
      <c r="B15" s="53">
        <v>500</v>
      </c>
      <c r="C15" s="54">
        <v>500</v>
      </c>
      <c r="D15" s="55" cm="1">
        <f t="array" ref="D15">_xlfn.IFERROR(C15/B15-1,0)</f>
        <v>0</v>
      </c>
      <c r="E15" s="56" cm="1">
        <f t="array" ref="E15">SUMIF('Budget - Dépenses réelles'!A3:A31,$A15,'Budget - Dépenses réelles'!D3:D31)</f>
        <v>0</v>
      </c>
      <c r="F15" s="55" cm="1">
        <f t="array" ref="F15">_xlfn.IFERROR(E15/C15-1,0)</f>
        <v>-1</v>
      </c>
    </row>
    <row r="16" ht="20.05" customHeight="1">
      <c r="A16" t="s" s="52">
        <v>189</v>
      </c>
      <c r="B16" s="53">
        <v>500</v>
      </c>
      <c r="C16" s="54" cm="1">
        <f t="array" ref="C16">'Notaire'!B$6</f>
        <v>378.98</v>
      </c>
      <c r="D16" s="55" cm="1">
        <f t="array" ref="D16">_xlfn.IFERROR(C16/B16-1,0)</f>
        <v>-0.24204</v>
      </c>
      <c r="E16" s="56" cm="1">
        <f t="array" ref="E16">SUMIF('Budget - Dépenses réelles'!A3:A31,$A16,'Budget - Dépenses réelles'!D3:D31)</f>
        <v>0</v>
      </c>
      <c r="F16" s="55" cm="1">
        <f t="array" ref="F16">_xlfn.IFERROR(E16/C16-1,0)</f>
        <v>-1</v>
      </c>
    </row>
    <row r="17" ht="20.25" customHeight="1">
      <c r="A17" t="s" s="57">
        <v>190</v>
      </c>
      <c r="B17" s="58">
        <v>-5000</v>
      </c>
      <c r="C17" s="59">
        <v>-5000</v>
      </c>
      <c r="D17" s="60" cm="1">
        <f t="array" ref="D17">_xlfn.IFERROR(C17/B17-1,0)</f>
        <v>0</v>
      </c>
      <c r="E17" s="61" cm="1">
        <f t="array" ref="E17">SUMIF('Budget - Dépenses réelles'!A3:A31,$A17,'Budget - Dépenses réelles'!D3:D31)</f>
        <v>0</v>
      </c>
      <c r="F17" s="60" cm="1">
        <f t="array" ref="F17">_xlfn.IFERROR(E17/D17-1,0)</f>
        <v>0</v>
      </c>
    </row>
    <row r="18" ht="20.25" customHeight="1">
      <c r="A18" t="s" s="62">
        <v>191</v>
      </c>
      <c r="B18" s="63" cm="1">
        <f t="array" ref="B18">SUM(B3:B17)</f>
        <v>45100</v>
      </c>
      <c r="C18" s="63" cm="1">
        <f t="array" ref="C18">SUM(C3:C17)</f>
        <v>55102.231</v>
      </c>
      <c r="D18" s="64" cm="1">
        <f t="array" ref="D18">_xlfn.IFERROR(C18/B18-1,0)</f>
        <v>0.221778957871397</v>
      </c>
      <c r="E18" s="63" cm="1">
        <f t="array" ref="E18">SUM(E3:E17)</f>
        <v>8000.6</v>
      </c>
      <c r="F18" s="64" cm="1">
        <f t="array" ref="F18">_xlfn.IFERROR(E18/C18-1,0)</f>
        <v>-0.854804427065757</v>
      </c>
    </row>
  </sheetData>
  <mergeCells count="1">
    <mergeCell ref="A1:F1"/>
  </mergeCells>
  <conditionalFormatting sqref="D3:D16 F3:F16 D18 F18">
    <cfRule type="cellIs" dxfId="3" priority="1" operator="lessThan" stopIfTrue="1">
      <formula>0</formula>
    </cfRule>
    <cfRule type="cellIs" dxfId="4" priority="2" operator="greaterThan" stopIfTrue="1">
      <formula>0</formula>
    </cfRule>
    <cfRule type="cellIs" dxfId="5" priority="3" operator="equal" stopIfTrue="1">
      <formula>0</formula>
    </cfRule>
  </conditionalFormatting>
  <conditionalFormatting sqref="D17 F17">
    <cfRule type="cellIs" dxfId="6" priority="1" operator="lessThan" stopIfTrue="1">
      <formula>0</formula>
    </cfRule>
    <cfRule type="cellIs" dxfId="7" priority="2" operator="greaterThan" stopIfTrue="1">
      <formula>0</formula>
    </cfRule>
    <cfRule type="cellIs" dxfId="8" priority="3" operator="equal" stopIfTrue="1">
      <formula>0</formula>
    </cfRule>
  </conditionalFormatting>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2:E32"/>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1" width="18.4922" style="65" customWidth="1"/>
    <col min="2" max="2" width="27.6328" style="65" customWidth="1"/>
    <col min="3" max="5" width="16.3516" style="65" customWidth="1"/>
    <col min="6" max="16384" width="16.3516" style="65" customWidth="1"/>
  </cols>
  <sheetData>
    <row r="1" ht="27.65" customHeight="1">
      <c r="A1" t="s" s="45">
        <v>192</v>
      </c>
      <c r="B1" s="45"/>
      <c r="C1" s="45"/>
      <c r="D1" s="45"/>
      <c r="E1" s="45"/>
    </row>
    <row r="2" ht="20.25" customHeight="1">
      <c r="A2" t="s" s="32">
        <v>172</v>
      </c>
      <c r="B2" t="s" s="32">
        <v>194</v>
      </c>
      <c r="C2" t="s" s="32">
        <v>61</v>
      </c>
      <c r="D2" t="s" s="32">
        <v>195</v>
      </c>
      <c r="E2" t="s" s="32">
        <v>196</v>
      </c>
    </row>
    <row r="3" ht="20.25" customHeight="1">
      <c r="A3" t="s" s="66">
        <v>186</v>
      </c>
      <c r="B3" t="s" s="33">
        <v>197</v>
      </c>
      <c r="C3" s="67">
        <v>45937</v>
      </c>
      <c r="D3" s="51">
        <v>190</v>
      </c>
      <c r="E3" t="s" s="68">
        <v>70</v>
      </c>
    </row>
    <row r="4" ht="20.05" customHeight="1">
      <c r="A4" t="s" s="69">
        <v>178</v>
      </c>
      <c r="B4" t="s" s="14">
        <v>198</v>
      </c>
      <c r="C4" s="70">
        <v>46107</v>
      </c>
      <c r="D4" s="56">
        <v>2000</v>
      </c>
      <c r="E4" t="s" s="16">
        <v>75</v>
      </c>
    </row>
    <row r="5" ht="20.05" customHeight="1">
      <c r="A5" t="s" s="69">
        <v>181</v>
      </c>
      <c r="B5" t="s" s="14">
        <v>199</v>
      </c>
      <c r="C5" s="70">
        <v>46133</v>
      </c>
      <c r="D5" s="56">
        <v>762</v>
      </c>
      <c r="E5" t="s" s="16">
        <v>75</v>
      </c>
    </row>
    <row r="6" ht="20.05" customHeight="1">
      <c r="A6" t="s" s="69">
        <v>184</v>
      </c>
      <c r="B6" t="s" s="14">
        <v>200</v>
      </c>
      <c r="C6" s="70">
        <v>46139</v>
      </c>
      <c r="D6" s="56">
        <v>100</v>
      </c>
      <c r="E6" t="s" s="16">
        <v>201</v>
      </c>
    </row>
    <row r="7" ht="20.05" customHeight="1">
      <c r="A7" t="s" s="69">
        <v>181</v>
      </c>
      <c r="B7" t="s" s="14">
        <v>202</v>
      </c>
      <c r="C7" s="70">
        <v>46139</v>
      </c>
      <c r="D7" s="56">
        <v>55</v>
      </c>
      <c r="E7" t="s" s="16">
        <v>201</v>
      </c>
    </row>
    <row r="8" ht="20.05" customHeight="1">
      <c r="A8" t="s" s="69">
        <v>185</v>
      </c>
      <c r="B8" t="s" s="14">
        <v>203</v>
      </c>
      <c r="C8" s="70">
        <v>46140</v>
      </c>
      <c r="D8" s="56">
        <v>106</v>
      </c>
      <c r="E8" t="s" s="16">
        <v>75</v>
      </c>
    </row>
    <row r="9" ht="20.05" customHeight="1">
      <c r="A9" t="s" s="69">
        <v>178</v>
      </c>
      <c r="B9" t="s" s="14">
        <v>204</v>
      </c>
      <c r="C9" s="70">
        <v>46235</v>
      </c>
      <c r="D9" s="56">
        <v>4000</v>
      </c>
      <c r="E9" t="s" s="16">
        <v>75</v>
      </c>
    </row>
    <row r="10" ht="20.05" customHeight="1">
      <c r="A10" t="s" s="69">
        <v>181</v>
      </c>
      <c r="B10" t="s" s="14">
        <v>205</v>
      </c>
      <c r="C10" s="70">
        <v>46240</v>
      </c>
      <c r="D10" s="56">
        <v>124</v>
      </c>
      <c r="E10" t="s" s="16">
        <v>75</v>
      </c>
    </row>
    <row r="11" ht="20.05" customHeight="1">
      <c r="A11" t="s" s="69">
        <v>184</v>
      </c>
      <c r="B11" t="s" s="14">
        <v>206</v>
      </c>
      <c r="C11" s="70">
        <v>46241</v>
      </c>
      <c r="D11" s="56">
        <v>379.6</v>
      </c>
      <c r="E11" t="s" s="16">
        <v>75</v>
      </c>
    </row>
    <row r="12" ht="20.05" customHeight="1">
      <c r="A12" t="s" s="69">
        <v>177</v>
      </c>
      <c r="B12" t="s" s="14">
        <v>207</v>
      </c>
      <c r="C12" s="70">
        <v>46248</v>
      </c>
      <c r="D12" s="56">
        <v>284</v>
      </c>
      <c r="E12" t="s" s="16">
        <v>75</v>
      </c>
    </row>
    <row r="13" ht="20.05" customHeight="1">
      <c r="A13" s="71"/>
      <c r="B13" s="17"/>
      <c r="C13" s="70"/>
      <c r="D13" s="56"/>
      <c r="E13" s="56"/>
    </row>
    <row r="14" ht="20.05" customHeight="1">
      <c r="A14" s="71"/>
      <c r="B14" s="17"/>
      <c r="C14" s="70"/>
      <c r="D14" s="56"/>
      <c r="E14" s="56"/>
    </row>
    <row r="15" ht="20.05" customHeight="1">
      <c r="A15" s="71"/>
      <c r="B15" s="17"/>
      <c r="C15" s="70"/>
      <c r="D15" s="56"/>
      <c r="E15" s="56"/>
    </row>
    <row r="16" ht="20.05" customHeight="1">
      <c r="A16" s="71"/>
      <c r="B16" s="17"/>
      <c r="C16" s="70"/>
      <c r="D16" s="56"/>
      <c r="E16" s="56"/>
    </row>
    <row r="17" ht="20.05" customHeight="1">
      <c r="A17" s="71"/>
      <c r="B17" s="17"/>
      <c r="C17" s="70"/>
      <c r="D17" s="56"/>
      <c r="E17" s="56"/>
    </row>
    <row r="18" ht="20.05" customHeight="1">
      <c r="A18" s="71"/>
      <c r="B18" s="17"/>
      <c r="C18" s="70"/>
      <c r="D18" s="56"/>
      <c r="E18" s="56"/>
    </row>
    <row r="19" ht="20.05" customHeight="1">
      <c r="A19" s="71"/>
      <c r="B19" s="17"/>
      <c r="C19" s="70"/>
      <c r="D19" s="56"/>
      <c r="E19" s="56"/>
    </row>
    <row r="20" ht="20.05" customHeight="1">
      <c r="A20" s="71"/>
      <c r="B20" s="17"/>
      <c r="C20" s="70"/>
      <c r="D20" s="56"/>
      <c r="E20" s="56"/>
    </row>
    <row r="21" ht="20.05" customHeight="1">
      <c r="A21" s="71"/>
      <c r="B21" s="17"/>
      <c r="C21" s="70"/>
      <c r="D21" s="56"/>
      <c r="E21" s="56"/>
    </row>
    <row r="22" ht="20.05" customHeight="1">
      <c r="A22" s="71"/>
      <c r="B22" s="17"/>
      <c r="C22" s="70"/>
      <c r="D22" s="56"/>
      <c r="E22" s="56"/>
    </row>
    <row r="23" ht="20.05" customHeight="1">
      <c r="A23" s="71"/>
      <c r="B23" s="17"/>
      <c r="C23" s="70"/>
      <c r="D23" s="56"/>
      <c r="E23" s="56"/>
    </row>
    <row r="24" ht="20.05" customHeight="1">
      <c r="A24" s="71"/>
      <c r="B24" s="17"/>
      <c r="C24" s="70"/>
      <c r="D24" s="56"/>
      <c r="E24" s="56"/>
    </row>
    <row r="25" ht="20.05" customHeight="1">
      <c r="A25" s="71"/>
      <c r="B25" s="17"/>
      <c r="C25" s="70"/>
      <c r="D25" s="56"/>
      <c r="E25" s="56"/>
    </row>
    <row r="26" ht="20.05" customHeight="1">
      <c r="A26" s="71"/>
      <c r="B26" s="17"/>
      <c r="C26" s="70"/>
      <c r="D26" s="56"/>
      <c r="E26" s="56"/>
    </row>
    <row r="27" ht="20.05" customHeight="1">
      <c r="A27" s="71"/>
      <c r="B27" s="17"/>
      <c r="C27" s="70"/>
      <c r="D27" s="56"/>
      <c r="E27" s="56"/>
    </row>
    <row r="28" ht="20.05" customHeight="1">
      <c r="A28" s="71"/>
      <c r="B28" s="17"/>
      <c r="C28" s="70"/>
      <c r="D28" s="56"/>
      <c r="E28" s="56"/>
    </row>
    <row r="29" ht="20.05" customHeight="1">
      <c r="A29" s="71"/>
      <c r="B29" s="17"/>
      <c r="C29" s="70"/>
      <c r="D29" s="56"/>
      <c r="E29" s="56"/>
    </row>
    <row r="30" ht="20.05" customHeight="1">
      <c r="A30" s="71"/>
      <c r="B30" s="17"/>
      <c r="C30" s="70"/>
      <c r="D30" s="56"/>
      <c r="E30" s="56"/>
    </row>
    <row r="31" ht="20.25" customHeight="1">
      <c r="A31" s="72"/>
      <c r="B31" s="21"/>
      <c r="C31" s="73"/>
      <c r="D31" s="61"/>
      <c r="E31" s="61"/>
    </row>
    <row r="32" ht="20.25" customHeight="1">
      <c r="A32" s="74"/>
      <c r="B32" s="75"/>
      <c r="C32" s="76"/>
      <c r="D32" s="76" cm="1">
        <f t="array" ref="D32">SUM(D3:D31)</f>
        <v>8000.6</v>
      </c>
      <c r="E32" s="76"/>
    </row>
  </sheetData>
  <mergeCells count="1">
    <mergeCell ref="A1:E1"/>
  </mergeCells>
  <dataValidations count="1">
    <dataValidation type="list" allowBlank="1" showInputMessage="1" showErrorMessage="1" sqref="A3:A31">
      <formula1>",Réception,Repas,Lune de miel,Alliances,Décoration ,Photos &amp; Vidéos,Habillement,Musique,Activités,Voiture,Notaire,Cérémonie mairie,Cérémonie religieuse,Cadeaux"</formula1>
    </dataValidation>
  </dataValidation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W91"/>
  <sheetViews>
    <sheetView workbookViewId="0" showGridLines="0" defaultGridColor="1">
      <pane topLeftCell="D4" xSplit="3" ySplit="3" activePane="bottomRight" state="frozen"/>
    </sheetView>
  </sheetViews>
  <sheetFormatPr defaultColWidth="16.3333" defaultRowHeight="19.9" customHeight="1" outlineLevelRow="0" outlineLevelCol="0"/>
  <cols>
    <col min="1" max="5" width="16.3516" style="77" customWidth="1"/>
    <col min="6" max="6" width="34.4688" style="77" customWidth="1"/>
    <col min="7" max="7" width="32.8203" style="77" customWidth="1"/>
    <col min="8" max="8" width="32.1484" style="77" customWidth="1"/>
    <col min="9" max="23" width="16.3516" style="77" customWidth="1"/>
    <col min="24" max="16384" width="16.3516" style="77" customWidth="1"/>
  </cols>
  <sheetData>
    <row r="1" ht="32.05" customHeight="1">
      <c r="A1" t="s" s="30">
        <v>9</v>
      </c>
      <c r="B1" t="s" s="30">
        <v>209</v>
      </c>
      <c r="C1" t="s" s="30">
        <v>210</v>
      </c>
      <c r="D1" t="s" s="30">
        <v>211</v>
      </c>
      <c r="E1" t="s" s="30">
        <v>172</v>
      </c>
      <c r="F1" t="s" s="30">
        <v>212</v>
      </c>
      <c r="G1" t="s" s="30">
        <v>213</v>
      </c>
      <c r="H1" t="s" s="30">
        <v>214</v>
      </c>
      <c r="I1" t="s" s="30">
        <v>215</v>
      </c>
      <c r="J1" t="s" s="30">
        <v>216</v>
      </c>
      <c r="K1" t="s" s="30">
        <v>217</v>
      </c>
      <c r="L1" t="s" s="30">
        <v>218</v>
      </c>
      <c r="M1" t="s" s="30">
        <v>219</v>
      </c>
      <c r="N1" t="s" s="30">
        <v>220</v>
      </c>
      <c r="O1" t="s" s="30">
        <v>177</v>
      </c>
      <c r="P1" t="s" s="30">
        <v>221</v>
      </c>
      <c r="Q1" t="s" s="30">
        <v>222</v>
      </c>
      <c r="R1" t="s" s="30">
        <v>223</v>
      </c>
      <c r="S1" t="s" s="30">
        <v>224</v>
      </c>
      <c r="T1" t="s" s="30">
        <v>225</v>
      </c>
      <c r="U1" t="s" s="30">
        <v>226</v>
      </c>
      <c r="V1" t="s" s="30">
        <v>227</v>
      </c>
      <c r="W1" t="s" s="30">
        <v>228</v>
      </c>
    </row>
    <row r="2" ht="20.05" customHeight="1">
      <c r="A2" t="s" s="69">
        <v>229</v>
      </c>
      <c r="B2" t="s" s="69">
        <v>230</v>
      </c>
      <c r="C2" t="s" s="69">
        <v>231</v>
      </c>
      <c r="D2" t="s" s="69">
        <v>232</v>
      </c>
      <c r="E2" t="s" s="69">
        <v>233</v>
      </c>
      <c r="F2" s="71"/>
      <c r="G2" s="31"/>
      <c r="H2" s="31"/>
      <c r="I2" s="31"/>
      <c r="J2" s="31"/>
      <c r="K2" s="31"/>
      <c r="L2" s="31"/>
      <c r="M2" s="31"/>
      <c r="N2" s="31"/>
      <c r="O2" s="31"/>
      <c r="P2" s="31"/>
      <c r="Q2" s="31"/>
      <c r="R2" s="31"/>
      <c r="S2" s="31"/>
      <c r="T2" s="71"/>
      <c r="U2" s="71"/>
      <c r="V2" s="71"/>
      <c r="W2" s="71"/>
    </row>
    <row r="3" ht="20.25" customHeight="1">
      <c r="A3" t="s" s="78">
        <v>229</v>
      </c>
      <c r="B3" t="s" s="78">
        <v>234</v>
      </c>
      <c r="C3" t="s" s="78">
        <v>235</v>
      </c>
      <c r="D3" t="s" s="78">
        <v>232</v>
      </c>
      <c r="E3" t="s" s="78">
        <v>233</v>
      </c>
      <c r="F3" s="79"/>
      <c r="G3" s="79"/>
      <c r="H3" s="79"/>
      <c r="I3" s="79"/>
      <c r="J3" s="79"/>
      <c r="K3" s="79"/>
      <c r="L3" s="79"/>
      <c r="M3" s="79"/>
      <c r="N3" s="79"/>
      <c r="O3" s="79"/>
      <c r="P3" s="79"/>
      <c r="Q3" s="79"/>
      <c r="R3" s="79"/>
      <c r="S3" s="79"/>
      <c r="T3" s="79"/>
      <c r="U3" s="79"/>
      <c r="V3" s="79"/>
      <c r="W3" s="79"/>
    </row>
    <row r="4" ht="20.25" customHeight="1">
      <c r="A4" t="s" s="66">
        <v>229</v>
      </c>
      <c r="B4" t="s" s="66">
        <v>230</v>
      </c>
      <c r="C4" t="s" s="33">
        <v>236</v>
      </c>
      <c r="D4" t="s" s="80">
        <v>237</v>
      </c>
      <c r="E4" t="s" s="68">
        <v>233</v>
      </c>
      <c r="F4" t="s" s="68">
        <v>238</v>
      </c>
      <c r="G4" s="81"/>
      <c r="H4" t="s" s="68">
        <v>239</v>
      </c>
      <c r="I4" t="b" s="82">
        <v>1</v>
      </c>
      <c r="J4" t="b" s="82">
        <v>1</v>
      </c>
      <c r="K4" t="b" s="82">
        <v>1</v>
      </c>
      <c r="L4" t="b" s="82">
        <v>1</v>
      </c>
      <c r="M4" t="b" s="82">
        <v>1</v>
      </c>
      <c r="N4" t="b" s="82">
        <v>1</v>
      </c>
      <c r="O4" t="b" s="82">
        <v>1</v>
      </c>
      <c r="P4" t="b" s="82">
        <v>1</v>
      </c>
      <c r="Q4" t="b" s="82">
        <v>1</v>
      </c>
      <c r="R4" t="b" s="82">
        <v>1</v>
      </c>
      <c r="S4" t="b" s="82">
        <v>1</v>
      </c>
      <c r="T4" t="b" s="82">
        <v>1</v>
      </c>
      <c r="U4" t="b" s="82">
        <v>0</v>
      </c>
      <c r="V4" t="b" s="82">
        <v>0</v>
      </c>
      <c r="W4" t="s" s="68">
        <v>240</v>
      </c>
    </row>
    <row r="5" ht="20.05" customHeight="1">
      <c r="A5" t="s" s="69">
        <v>229</v>
      </c>
      <c r="B5" t="s" s="69">
        <v>230</v>
      </c>
      <c r="C5" t="s" s="14">
        <v>241</v>
      </c>
      <c r="D5" t="s" s="83">
        <v>237</v>
      </c>
      <c r="E5" t="s" s="16">
        <v>233</v>
      </c>
      <c r="F5" s="43"/>
      <c r="G5" s="19"/>
      <c r="H5" t="s" s="16">
        <v>242</v>
      </c>
      <c r="I5" t="b" s="84">
        <v>1</v>
      </c>
      <c r="J5" t="b" s="84">
        <v>0</v>
      </c>
      <c r="K5" t="b" s="84">
        <v>1</v>
      </c>
      <c r="L5" t="b" s="84">
        <v>1</v>
      </c>
      <c r="M5" t="b" s="84">
        <v>1</v>
      </c>
      <c r="N5" t="b" s="84">
        <v>1</v>
      </c>
      <c r="O5" t="b" s="84">
        <v>1</v>
      </c>
      <c r="P5" t="b" s="84">
        <v>1</v>
      </c>
      <c r="Q5" t="b" s="84">
        <v>1</v>
      </c>
      <c r="R5" t="b" s="84">
        <v>0</v>
      </c>
      <c r="S5" t="b" s="84">
        <v>1</v>
      </c>
      <c r="T5" t="b" s="84">
        <v>1</v>
      </c>
      <c r="U5" t="b" s="84">
        <v>0</v>
      </c>
      <c r="V5" t="b" s="84">
        <v>0</v>
      </c>
      <c r="W5" t="s" s="16">
        <v>243</v>
      </c>
    </row>
    <row r="6" ht="20.05" customHeight="1">
      <c r="A6" t="s" s="69">
        <v>229</v>
      </c>
      <c r="B6" t="s" s="69">
        <v>230</v>
      </c>
      <c r="C6" t="s" s="14">
        <v>244</v>
      </c>
      <c r="D6" t="s" s="83">
        <v>237</v>
      </c>
      <c r="E6" t="s" s="16">
        <v>233</v>
      </c>
      <c r="F6" s="43"/>
      <c r="G6" s="19"/>
      <c r="H6" t="s" s="16">
        <v>245</v>
      </c>
      <c r="I6" t="b" s="84">
        <v>1</v>
      </c>
      <c r="J6" t="b" s="84">
        <v>0</v>
      </c>
      <c r="K6" t="b" s="84">
        <v>1</v>
      </c>
      <c r="L6" t="b" s="84">
        <v>1</v>
      </c>
      <c r="M6" t="b" s="84">
        <v>1</v>
      </c>
      <c r="N6" t="b" s="84">
        <v>1</v>
      </c>
      <c r="O6" t="b" s="84">
        <v>1</v>
      </c>
      <c r="P6" t="b" s="84">
        <v>1</v>
      </c>
      <c r="Q6" t="b" s="84">
        <v>1</v>
      </c>
      <c r="R6" t="b" s="84">
        <v>1</v>
      </c>
      <c r="S6" t="b" s="84">
        <v>1</v>
      </c>
      <c r="T6" t="b" s="84">
        <v>1</v>
      </c>
      <c r="U6" t="b" s="84">
        <v>0</v>
      </c>
      <c r="V6" t="b" s="84">
        <v>1</v>
      </c>
      <c r="W6" t="s" s="16">
        <v>246</v>
      </c>
    </row>
    <row r="7" ht="20.05" customHeight="1">
      <c r="A7" t="s" s="69">
        <v>229</v>
      </c>
      <c r="B7" t="s" s="69">
        <v>230</v>
      </c>
      <c r="C7" t="s" s="14">
        <v>247</v>
      </c>
      <c r="D7" t="s" s="83">
        <v>237</v>
      </c>
      <c r="E7" t="s" s="16">
        <v>233</v>
      </c>
      <c r="F7" s="43"/>
      <c r="G7" s="19"/>
      <c r="H7" t="s" s="16">
        <v>248</v>
      </c>
      <c r="I7" t="b" s="84">
        <v>1</v>
      </c>
      <c r="J7" t="b" s="84">
        <v>0</v>
      </c>
      <c r="K7" t="b" s="84">
        <v>1</v>
      </c>
      <c r="L7" t="b" s="84">
        <v>1</v>
      </c>
      <c r="M7" t="b" s="84">
        <v>1</v>
      </c>
      <c r="N7" t="b" s="84">
        <v>1</v>
      </c>
      <c r="O7" t="b" s="84">
        <v>1</v>
      </c>
      <c r="P7" t="b" s="84">
        <v>1</v>
      </c>
      <c r="Q7" t="b" s="84">
        <v>1</v>
      </c>
      <c r="R7" t="b" s="84">
        <v>1</v>
      </c>
      <c r="S7" t="b" s="84">
        <v>1</v>
      </c>
      <c r="T7" t="b" s="84">
        <v>1</v>
      </c>
      <c r="U7" t="b" s="84">
        <v>0</v>
      </c>
      <c r="V7" t="b" s="84">
        <v>1</v>
      </c>
      <c r="W7" t="s" s="16">
        <v>249</v>
      </c>
    </row>
    <row r="8" ht="32.05" customHeight="1">
      <c r="A8" t="s" s="69">
        <v>14</v>
      </c>
      <c r="B8" t="s" s="69">
        <v>230</v>
      </c>
      <c r="C8" t="s" s="14">
        <v>250</v>
      </c>
      <c r="D8" t="s" s="83">
        <v>237</v>
      </c>
      <c r="E8" t="s" s="16">
        <v>233</v>
      </c>
      <c r="F8" t="s" s="16">
        <v>251</v>
      </c>
      <c r="G8" s="19"/>
      <c r="H8" t="s" s="16">
        <v>252</v>
      </c>
      <c r="I8" t="b" s="84">
        <v>1</v>
      </c>
      <c r="J8" t="b" s="84">
        <v>1</v>
      </c>
      <c r="K8" t="b" s="84">
        <v>0</v>
      </c>
      <c r="L8" t="b" s="84">
        <v>0</v>
      </c>
      <c r="M8" t="b" s="84">
        <v>0</v>
      </c>
      <c r="N8" t="b" s="84">
        <v>0</v>
      </c>
      <c r="O8" t="b" s="84">
        <v>0</v>
      </c>
      <c r="P8" t="b" s="84">
        <v>0</v>
      </c>
      <c r="Q8" t="b" s="84">
        <v>0</v>
      </c>
      <c r="R8" t="b" s="84">
        <v>0</v>
      </c>
      <c r="S8" t="b" s="84">
        <v>0</v>
      </c>
      <c r="T8" t="b" s="84">
        <v>0</v>
      </c>
      <c r="U8" t="b" s="84">
        <v>0</v>
      </c>
      <c r="V8" t="b" s="84">
        <v>0</v>
      </c>
      <c r="W8" t="s" s="16">
        <v>253</v>
      </c>
    </row>
    <row r="9" ht="32.05" customHeight="1">
      <c r="A9" t="s" s="69">
        <v>14</v>
      </c>
      <c r="B9" t="s" s="69">
        <v>230</v>
      </c>
      <c r="C9" t="s" s="14">
        <v>254</v>
      </c>
      <c r="D9" t="s" s="83">
        <v>237</v>
      </c>
      <c r="E9" t="s" s="16">
        <v>233</v>
      </c>
      <c r="F9" s="43"/>
      <c r="G9" s="19"/>
      <c r="H9" s="19"/>
      <c r="I9" t="b" s="84">
        <v>1</v>
      </c>
      <c r="J9" t="b" s="84">
        <v>0</v>
      </c>
      <c r="K9" t="b" s="84">
        <v>0</v>
      </c>
      <c r="L9" t="b" s="84">
        <v>0</v>
      </c>
      <c r="M9" t="b" s="84">
        <v>0</v>
      </c>
      <c r="N9" t="b" s="84">
        <v>0</v>
      </c>
      <c r="O9" t="b" s="84">
        <v>0</v>
      </c>
      <c r="P9" t="b" s="84">
        <v>0</v>
      </c>
      <c r="Q9" t="b" s="84">
        <v>0</v>
      </c>
      <c r="R9" t="b" s="84">
        <v>0</v>
      </c>
      <c r="S9" t="b" s="84">
        <v>0</v>
      </c>
      <c r="T9" t="b" s="84">
        <v>0</v>
      </c>
      <c r="U9" t="b" s="84">
        <v>0</v>
      </c>
      <c r="V9" t="b" s="84">
        <v>0</v>
      </c>
      <c r="W9" t="s" s="16">
        <v>255</v>
      </c>
    </row>
    <row r="10" ht="32.05" customHeight="1">
      <c r="A10" t="s" s="69">
        <v>229</v>
      </c>
      <c r="B10" t="s" s="69">
        <v>256</v>
      </c>
      <c r="C10" t="s" s="14">
        <v>257</v>
      </c>
      <c r="D10" t="s" s="83">
        <v>237</v>
      </c>
      <c r="E10" t="s" s="16">
        <v>233</v>
      </c>
      <c r="F10" s="19"/>
      <c r="G10" s="19"/>
      <c r="H10" t="s" s="16">
        <v>258</v>
      </c>
      <c r="I10" t="b" s="84">
        <v>1</v>
      </c>
      <c r="J10" t="b" s="84">
        <v>0</v>
      </c>
      <c r="K10" t="b" s="84">
        <v>1</v>
      </c>
      <c r="L10" t="b" s="84">
        <v>1</v>
      </c>
      <c r="M10" t="b" s="84">
        <v>1</v>
      </c>
      <c r="N10" t="b" s="84">
        <v>1</v>
      </c>
      <c r="O10" t="b" s="84">
        <v>1</v>
      </c>
      <c r="P10" t="b" s="84">
        <v>1</v>
      </c>
      <c r="Q10" t="b" s="84">
        <v>1</v>
      </c>
      <c r="R10" t="b" s="84">
        <v>1</v>
      </c>
      <c r="S10" t="b" s="84">
        <v>1</v>
      </c>
      <c r="T10" t="b" s="84">
        <v>1</v>
      </c>
      <c r="U10" t="b" s="84">
        <v>0</v>
      </c>
      <c r="V10" t="b" s="84">
        <v>0</v>
      </c>
      <c r="W10" t="s" s="16">
        <v>259</v>
      </c>
    </row>
    <row r="11" ht="32.05" customHeight="1">
      <c r="A11" t="s" s="69">
        <v>14</v>
      </c>
      <c r="B11" t="s" s="69">
        <v>260</v>
      </c>
      <c r="C11" t="s" s="14">
        <v>261</v>
      </c>
      <c r="D11" t="s" s="83">
        <v>237</v>
      </c>
      <c r="E11" t="s" s="16">
        <v>233</v>
      </c>
      <c r="F11" s="19"/>
      <c r="G11" s="19"/>
      <c r="H11" t="s" s="16">
        <v>262</v>
      </c>
      <c r="I11" t="b" s="84">
        <v>1</v>
      </c>
      <c r="J11" t="b" s="84">
        <v>0</v>
      </c>
      <c r="K11" t="b" s="84">
        <v>1</v>
      </c>
      <c r="L11" t="b" s="84">
        <v>1</v>
      </c>
      <c r="M11" t="b" s="84">
        <v>1</v>
      </c>
      <c r="N11" t="b" s="84">
        <v>1</v>
      </c>
      <c r="O11" t="b" s="84">
        <v>1</v>
      </c>
      <c r="P11" t="b" s="84">
        <v>1</v>
      </c>
      <c r="Q11" t="b" s="84">
        <v>1</v>
      </c>
      <c r="R11" t="b" s="84">
        <v>1</v>
      </c>
      <c r="S11" t="b" s="84">
        <v>1</v>
      </c>
      <c r="T11" t="b" s="84">
        <v>1</v>
      </c>
      <c r="U11" t="b" s="84">
        <v>0</v>
      </c>
      <c r="V11" t="b" s="84">
        <v>0</v>
      </c>
      <c r="W11" t="s" s="16">
        <v>263</v>
      </c>
    </row>
    <row r="12" ht="56.05" customHeight="1">
      <c r="A12" t="s" s="69">
        <v>14</v>
      </c>
      <c r="B12" t="s" s="69">
        <v>264</v>
      </c>
      <c r="C12" t="s" s="14">
        <v>265</v>
      </c>
      <c r="D12" t="s" s="83">
        <v>237</v>
      </c>
      <c r="E12" t="s" s="16">
        <v>233</v>
      </c>
      <c r="F12" t="s" s="16">
        <v>266</v>
      </c>
      <c r="G12" s="19"/>
      <c r="H12" s="19"/>
      <c r="I12" t="b" s="84">
        <v>1</v>
      </c>
      <c r="J12" t="b" s="84">
        <v>1</v>
      </c>
      <c r="K12" t="b" s="84">
        <v>0</v>
      </c>
      <c r="L12" t="b" s="84">
        <v>0</v>
      </c>
      <c r="M12" t="b" s="84">
        <v>0</v>
      </c>
      <c r="N12" t="b" s="84">
        <v>0</v>
      </c>
      <c r="O12" t="b" s="84">
        <v>0</v>
      </c>
      <c r="P12" t="b" s="84">
        <v>0</v>
      </c>
      <c r="Q12" t="b" s="84">
        <v>0</v>
      </c>
      <c r="R12" t="b" s="84">
        <v>0</v>
      </c>
      <c r="S12" t="b" s="84">
        <v>0</v>
      </c>
      <c r="T12" t="b" s="84">
        <v>0</v>
      </c>
      <c r="U12" t="b" s="84">
        <v>0</v>
      </c>
      <c r="V12" t="b" s="84">
        <v>0</v>
      </c>
      <c r="W12" t="s" s="16">
        <v>267</v>
      </c>
    </row>
    <row r="13" ht="56.05" customHeight="1">
      <c r="A13" t="s" s="69">
        <v>14</v>
      </c>
      <c r="B13" t="s" s="69">
        <v>268</v>
      </c>
      <c r="C13" t="s" s="14">
        <v>269</v>
      </c>
      <c r="D13" t="s" s="83">
        <v>237</v>
      </c>
      <c r="E13" t="s" s="16">
        <v>233</v>
      </c>
      <c r="F13" t="s" s="16">
        <v>270</v>
      </c>
      <c r="G13" s="19"/>
      <c r="H13" t="s" s="16">
        <v>271</v>
      </c>
      <c r="I13" t="b" s="84">
        <v>1</v>
      </c>
      <c r="J13" t="b" s="84">
        <v>1</v>
      </c>
      <c r="K13" t="b" s="84">
        <v>0</v>
      </c>
      <c r="L13" t="b" s="84">
        <v>0</v>
      </c>
      <c r="M13" t="b" s="84">
        <v>1</v>
      </c>
      <c r="N13" t="b" s="84">
        <v>1</v>
      </c>
      <c r="O13" t="b" s="84">
        <v>1</v>
      </c>
      <c r="P13" t="b" s="84">
        <v>1</v>
      </c>
      <c r="Q13" t="b" s="84">
        <v>1</v>
      </c>
      <c r="R13" t="b" s="84">
        <v>1</v>
      </c>
      <c r="S13" t="b" s="84">
        <v>1</v>
      </c>
      <c r="T13" t="b" s="84">
        <v>0</v>
      </c>
      <c r="U13" t="b" s="84">
        <v>0</v>
      </c>
      <c r="V13" t="b" s="84">
        <v>0</v>
      </c>
      <c r="W13" t="s" s="16">
        <v>272</v>
      </c>
    </row>
    <row r="14" ht="20.05" customHeight="1">
      <c r="A14" t="s" s="69">
        <v>14</v>
      </c>
      <c r="B14" t="s" s="69">
        <v>273</v>
      </c>
      <c r="C14" t="s" s="14">
        <v>274</v>
      </c>
      <c r="D14" t="s" s="83">
        <v>237</v>
      </c>
      <c r="E14" t="s" s="16">
        <v>233</v>
      </c>
      <c r="F14" s="19"/>
      <c r="G14" s="19"/>
      <c r="H14" s="19"/>
      <c r="I14" t="b" s="84">
        <v>1</v>
      </c>
      <c r="J14" t="b" s="84">
        <v>0</v>
      </c>
      <c r="K14" t="b" s="84">
        <v>0</v>
      </c>
      <c r="L14" t="b" s="84">
        <v>0</v>
      </c>
      <c r="M14" t="b" s="84">
        <v>1</v>
      </c>
      <c r="N14" t="b" s="84">
        <v>1</v>
      </c>
      <c r="O14" t="b" s="84">
        <v>1</v>
      </c>
      <c r="P14" t="b" s="84">
        <v>1</v>
      </c>
      <c r="Q14" t="b" s="84">
        <v>1</v>
      </c>
      <c r="R14" t="b" s="84">
        <v>0</v>
      </c>
      <c r="S14" t="b" s="84">
        <v>1</v>
      </c>
      <c r="T14" t="b" s="84">
        <v>0</v>
      </c>
      <c r="U14" t="b" s="84">
        <v>0</v>
      </c>
      <c r="V14" t="b" s="84">
        <v>0</v>
      </c>
      <c r="W14" t="s" s="16">
        <v>275</v>
      </c>
    </row>
    <row r="15" ht="20.05" customHeight="1">
      <c r="A15" t="s" s="69">
        <v>229</v>
      </c>
      <c r="B15" t="s" s="69">
        <v>230</v>
      </c>
      <c r="C15" t="s" s="14">
        <v>276</v>
      </c>
      <c r="D15" t="s" s="83">
        <v>237</v>
      </c>
      <c r="E15" t="s" s="16">
        <v>233</v>
      </c>
      <c r="F15" t="s" s="16">
        <v>277</v>
      </c>
      <c r="G15" s="19"/>
      <c r="H15" t="s" s="16">
        <v>278</v>
      </c>
      <c r="I15" t="b" s="84">
        <v>1</v>
      </c>
      <c r="J15" t="b" s="84">
        <v>1</v>
      </c>
      <c r="K15" t="b" s="84">
        <v>1</v>
      </c>
      <c r="L15" t="b" s="84">
        <v>1</v>
      </c>
      <c r="M15" t="b" s="84">
        <v>1</v>
      </c>
      <c r="N15" t="b" s="84">
        <v>1</v>
      </c>
      <c r="O15" t="b" s="84">
        <v>1</v>
      </c>
      <c r="P15" t="b" s="84">
        <v>1</v>
      </c>
      <c r="Q15" t="b" s="84">
        <v>1</v>
      </c>
      <c r="R15" t="b" s="84">
        <v>0</v>
      </c>
      <c r="S15" t="b" s="84">
        <v>1</v>
      </c>
      <c r="T15" t="b" s="84">
        <v>1</v>
      </c>
      <c r="U15" t="b" s="84">
        <v>0</v>
      </c>
      <c r="V15" t="b" s="84">
        <v>0</v>
      </c>
      <c r="W15" t="s" s="16">
        <v>279</v>
      </c>
    </row>
    <row r="16" ht="32.05" customHeight="1">
      <c r="A16" t="s" s="69">
        <v>229</v>
      </c>
      <c r="B16" t="s" s="69">
        <v>230</v>
      </c>
      <c r="C16" t="s" s="14">
        <v>280</v>
      </c>
      <c r="D16" t="s" s="83">
        <v>237</v>
      </c>
      <c r="E16" t="s" s="16">
        <v>233</v>
      </c>
      <c r="F16" s="19"/>
      <c r="G16" s="19"/>
      <c r="H16" t="s" s="16">
        <v>281</v>
      </c>
      <c r="I16" t="b" s="84">
        <v>1</v>
      </c>
      <c r="J16" t="b" s="84">
        <v>0</v>
      </c>
      <c r="K16" t="b" s="84">
        <v>1</v>
      </c>
      <c r="L16" t="b" s="84">
        <v>1</v>
      </c>
      <c r="M16" t="b" s="84">
        <v>1</v>
      </c>
      <c r="N16" t="b" s="84">
        <v>1</v>
      </c>
      <c r="O16" t="b" s="84">
        <v>1</v>
      </c>
      <c r="P16" t="b" s="84">
        <v>1</v>
      </c>
      <c r="Q16" t="b" s="84">
        <v>1</v>
      </c>
      <c r="R16" t="b" s="84">
        <v>1</v>
      </c>
      <c r="S16" t="b" s="84">
        <v>1</v>
      </c>
      <c r="T16" t="b" s="84">
        <v>1</v>
      </c>
      <c r="U16" t="b" s="84">
        <v>0</v>
      </c>
      <c r="V16" t="b" s="84">
        <v>0</v>
      </c>
      <c r="W16" t="s" s="16">
        <v>282</v>
      </c>
    </row>
    <row r="17" ht="32.05" customHeight="1">
      <c r="A17" t="s" s="69">
        <v>229</v>
      </c>
      <c r="B17" t="s" s="69">
        <v>283</v>
      </c>
      <c r="C17" t="s" s="14">
        <v>284</v>
      </c>
      <c r="D17" t="s" s="83">
        <v>237</v>
      </c>
      <c r="E17" t="s" s="16">
        <v>233</v>
      </c>
      <c r="F17" t="s" s="16">
        <v>285</v>
      </c>
      <c r="G17" s="19"/>
      <c r="H17" t="s" s="16">
        <v>286</v>
      </c>
      <c r="I17" t="b" s="84">
        <v>1</v>
      </c>
      <c r="J17" t="b" s="84">
        <v>1</v>
      </c>
      <c r="K17" t="b" s="84">
        <v>1</v>
      </c>
      <c r="L17" t="b" s="84">
        <v>1</v>
      </c>
      <c r="M17" t="b" s="84">
        <v>1</v>
      </c>
      <c r="N17" t="b" s="84">
        <v>1</v>
      </c>
      <c r="O17" t="b" s="84">
        <v>1</v>
      </c>
      <c r="P17" t="b" s="84">
        <v>1</v>
      </c>
      <c r="Q17" t="b" s="84">
        <v>1</v>
      </c>
      <c r="R17" t="b" s="84">
        <v>0</v>
      </c>
      <c r="S17" t="b" s="84">
        <v>1</v>
      </c>
      <c r="T17" t="b" s="84">
        <v>1</v>
      </c>
      <c r="U17" t="b" s="84">
        <v>0</v>
      </c>
      <c r="V17" t="b" s="84">
        <v>0</v>
      </c>
      <c r="W17" t="s" s="16">
        <v>287</v>
      </c>
    </row>
    <row r="18" ht="20.05" customHeight="1">
      <c r="A18" t="s" s="69">
        <v>229</v>
      </c>
      <c r="B18" t="s" s="69">
        <v>288</v>
      </c>
      <c r="C18" t="s" s="14">
        <v>289</v>
      </c>
      <c r="D18" t="s" s="83">
        <v>237</v>
      </c>
      <c r="E18" t="s" s="16">
        <v>233</v>
      </c>
      <c r="F18" s="19"/>
      <c r="G18" s="19"/>
      <c r="H18" t="s" s="16">
        <v>290</v>
      </c>
      <c r="I18" t="b" s="84">
        <v>1</v>
      </c>
      <c r="J18" t="b" s="84">
        <v>0</v>
      </c>
      <c r="K18" t="b" s="84">
        <v>1</v>
      </c>
      <c r="L18" t="b" s="84">
        <v>1</v>
      </c>
      <c r="M18" t="b" s="84">
        <v>1</v>
      </c>
      <c r="N18" t="b" s="84">
        <v>1</v>
      </c>
      <c r="O18" t="b" s="84">
        <v>1</v>
      </c>
      <c r="P18" t="b" s="84">
        <v>1</v>
      </c>
      <c r="Q18" t="b" s="84">
        <v>1</v>
      </c>
      <c r="R18" t="b" s="84">
        <v>1</v>
      </c>
      <c r="S18" t="b" s="84">
        <v>1</v>
      </c>
      <c r="T18" t="b" s="84">
        <v>1</v>
      </c>
      <c r="U18" t="b" s="84">
        <v>0</v>
      </c>
      <c r="V18" t="b" s="84">
        <v>0</v>
      </c>
      <c r="W18" t="s" s="16">
        <v>291</v>
      </c>
    </row>
    <row r="19" ht="32.05" customHeight="1">
      <c r="A19" t="s" s="69">
        <v>14</v>
      </c>
      <c r="B19" t="s" s="69">
        <v>230</v>
      </c>
      <c r="C19" t="s" s="14">
        <v>292</v>
      </c>
      <c r="D19" t="s" s="83">
        <v>237</v>
      </c>
      <c r="E19" t="s" s="16">
        <v>233</v>
      </c>
      <c r="F19" t="s" s="16">
        <v>293</v>
      </c>
      <c r="G19" s="19"/>
      <c r="H19" t="s" s="16">
        <v>294</v>
      </c>
      <c r="I19" t="b" s="84">
        <v>1</v>
      </c>
      <c r="J19" t="b" s="84">
        <v>1</v>
      </c>
      <c r="K19" t="b" s="84">
        <v>0</v>
      </c>
      <c r="L19" t="b" s="84">
        <v>0</v>
      </c>
      <c r="M19" t="b" s="84">
        <v>1</v>
      </c>
      <c r="N19" t="b" s="84">
        <v>1</v>
      </c>
      <c r="O19" t="b" s="84">
        <v>1</v>
      </c>
      <c r="P19" t="b" s="84">
        <v>1</v>
      </c>
      <c r="Q19" t="b" s="84">
        <v>1</v>
      </c>
      <c r="R19" t="b" s="84">
        <v>1</v>
      </c>
      <c r="S19" t="b" s="84">
        <v>1</v>
      </c>
      <c r="T19" t="b" s="84">
        <v>0</v>
      </c>
      <c r="U19" t="b" s="84">
        <v>0</v>
      </c>
      <c r="V19" t="b" s="84">
        <v>0</v>
      </c>
      <c r="W19" t="s" s="16">
        <v>295</v>
      </c>
    </row>
    <row r="20" ht="32.05" customHeight="1">
      <c r="A20" t="s" s="69">
        <v>14</v>
      </c>
      <c r="B20" t="s" s="69">
        <v>230</v>
      </c>
      <c r="C20" t="s" s="14">
        <v>296</v>
      </c>
      <c r="D20" t="s" s="83">
        <v>237</v>
      </c>
      <c r="E20" t="s" s="16">
        <v>233</v>
      </c>
      <c r="F20" s="43"/>
      <c r="G20" s="19"/>
      <c r="H20" t="s" s="16">
        <v>297</v>
      </c>
      <c r="I20" t="b" s="84">
        <v>1</v>
      </c>
      <c r="J20" t="b" s="84">
        <v>0</v>
      </c>
      <c r="K20" t="b" s="84">
        <v>0</v>
      </c>
      <c r="L20" t="b" s="84">
        <v>0</v>
      </c>
      <c r="M20" t="b" s="84">
        <v>1</v>
      </c>
      <c r="N20" t="b" s="84">
        <v>1</v>
      </c>
      <c r="O20" t="b" s="84">
        <v>1</v>
      </c>
      <c r="P20" t="b" s="84">
        <v>1</v>
      </c>
      <c r="Q20" t="b" s="84">
        <v>1</v>
      </c>
      <c r="R20" t="b" s="84">
        <v>0</v>
      </c>
      <c r="S20" t="b" s="84">
        <v>1</v>
      </c>
      <c r="T20" t="b" s="84">
        <v>0</v>
      </c>
      <c r="U20" t="b" s="84">
        <v>0</v>
      </c>
      <c r="V20" t="b" s="84">
        <v>0</v>
      </c>
      <c r="W20" t="s" s="16">
        <v>298</v>
      </c>
    </row>
    <row r="21" ht="32.05" customHeight="1">
      <c r="A21" t="s" s="69">
        <v>14</v>
      </c>
      <c r="B21" t="s" s="69">
        <v>230</v>
      </c>
      <c r="C21" t="s" s="14">
        <v>299</v>
      </c>
      <c r="D21" t="s" s="83">
        <v>237</v>
      </c>
      <c r="E21" t="s" s="16">
        <v>233</v>
      </c>
      <c r="F21" t="s" s="16">
        <v>300</v>
      </c>
      <c r="G21" s="19"/>
      <c r="H21" t="s" s="16">
        <v>301</v>
      </c>
      <c r="I21" t="b" s="84">
        <v>1</v>
      </c>
      <c r="J21" t="b" s="84">
        <v>1</v>
      </c>
      <c r="K21" t="b" s="84">
        <v>0</v>
      </c>
      <c r="L21" t="b" s="84">
        <v>0</v>
      </c>
      <c r="M21" t="b" s="84">
        <v>1</v>
      </c>
      <c r="N21" t="b" s="84">
        <v>1</v>
      </c>
      <c r="O21" t="b" s="84">
        <v>1</v>
      </c>
      <c r="P21" t="b" s="84">
        <v>1</v>
      </c>
      <c r="Q21" t="b" s="84">
        <v>1</v>
      </c>
      <c r="R21" t="b" s="84">
        <v>1</v>
      </c>
      <c r="S21" t="b" s="84">
        <v>1</v>
      </c>
      <c r="T21" t="b" s="84">
        <v>0</v>
      </c>
      <c r="U21" t="b" s="84">
        <v>0</v>
      </c>
      <c r="V21" t="b" s="84">
        <v>0</v>
      </c>
      <c r="W21" t="s" s="16">
        <v>302</v>
      </c>
    </row>
    <row r="22" ht="32.05" customHeight="1">
      <c r="A22" t="s" s="69">
        <v>14</v>
      </c>
      <c r="B22" t="s" s="69">
        <v>230</v>
      </c>
      <c r="C22" t="s" s="14">
        <v>303</v>
      </c>
      <c r="D22" t="s" s="83">
        <v>237</v>
      </c>
      <c r="E22" t="s" s="16">
        <v>233</v>
      </c>
      <c r="F22" s="43"/>
      <c r="G22" s="19"/>
      <c r="H22" s="19"/>
      <c r="I22" t="b" s="84">
        <v>1</v>
      </c>
      <c r="J22" t="b" s="84">
        <v>0</v>
      </c>
      <c r="K22" t="b" s="84">
        <v>0</v>
      </c>
      <c r="L22" t="b" s="84">
        <v>0</v>
      </c>
      <c r="M22" t="b" s="84">
        <v>1</v>
      </c>
      <c r="N22" t="b" s="84">
        <v>1</v>
      </c>
      <c r="O22" t="b" s="84">
        <v>1</v>
      </c>
      <c r="P22" t="b" s="84">
        <v>1</v>
      </c>
      <c r="Q22" t="b" s="84">
        <v>1</v>
      </c>
      <c r="R22" t="b" s="84">
        <v>0</v>
      </c>
      <c r="S22" t="b" s="84">
        <v>1</v>
      </c>
      <c r="T22" t="b" s="84">
        <v>0</v>
      </c>
      <c r="U22" t="b" s="84">
        <v>0</v>
      </c>
      <c r="V22" t="b" s="84">
        <v>0</v>
      </c>
      <c r="W22" t="s" s="16">
        <v>304</v>
      </c>
    </row>
    <row r="23" ht="20.05" customHeight="1">
      <c r="A23" t="s" s="69">
        <v>14</v>
      </c>
      <c r="B23" t="s" s="69">
        <v>305</v>
      </c>
      <c r="C23" t="s" s="14">
        <v>306</v>
      </c>
      <c r="D23" t="s" s="83">
        <v>237</v>
      </c>
      <c r="E23" t="s" s="16">
        <v>233</v>
      </c>
      <c r="F23" t="s" s="16">
        <v>307</v>
      </c>
      <c r="G23" s="19"/>
      <c r="H23" s="19"/>
      <c r="I23" t="b" s="84">
        <v>1</v>
      </c>
      <c r="J23" t="b" s="84">
        <v>1</v>
      </c>
      <c r="K23" t="b" s="84">
        <v>0</v>
      </c>
      <c r="L23" t="b" s="84">
        <v>0</v>
      </c>
      <c r="M23" t="b" s="84">
        <v>1</v>
      </c>
      <c r="N23" t="b" s="84">
        <v>1</v>
      </c>
      <c r="O23" t="b" s="84">
        <v>1</v>
      </c>
      <c r="P23" t="b" s="84">
        <v>1</v>
      </c>
      <c r="Q23" t="b" s="84">
        <v>1</v>
      </c>
      <c r="R23" t="b" s="84">
        <v>1</v>
      </c>
      <c r="S23" t="b" s="84">
        <v>1</v>
      </c>
      <c r="T23" t="b" s="84">
        <v>0</v>
      </c>
      <c r="U23" t="b" s="84">
        <v>0</v>
      </c>
      <c r="V23" t="b" s="84">
        <v>0</v>
      </c>
      <c r="W23" t="s" s="16">
        <v>272</v>
      </c>
    </row>
    <row r="24" ht="32.05" customHeight="1">
      <c r="A24" t="s" s="69">
        <v>14</v>
      </c>
      <c r="B24" t="s" s="69">
        <v>305</v>
      </c>
      <c r="C24" t="s" s="14">
        <v>308</v>
      </c>
      <c r="D24" t="s" s="83">
        <v>237</v>
      </c>
      <c r="E24" t="s" s="16">
        <v>233</v>
      </c>
      <c r="F24" s="43"/>
      <c r="G24" s="19"/>
      <c r="H24" t="s" s="16">
        <v>309</v>
      </c>
      <c r="I24" t="b" s="84">
        <v>1</v>
      </c>
      <c r="J24" t="b" s="84">
        <v>0</v>
      </c>
      <c r="K24" t="b" s="84">
        <v>0</v>
      </c>
      <c r="L24" t="b" s="84">
        <v>0</v>
      </c>
      <c r="M24" t="b" s="84">
        <v>1</v>
      </c>
      <c r="N24" t="b" s="84">
        <v>1</v>
      </c>
      <c r="O24" t="b" s="84">
        <v>1</v>
      </c>
      <c r="P24" t="b" s="84">
        <v>1</v>
      </c>
      <c r="Q24" t="b" s="84">
        <v>1</v>
      </c>
      <c r="R24" t="b" s="84">
        <v>1</v>
      </c>
      <c r="S24" t="b" s="84">
        <v>1</v>
      </c>
      <c r="T24" t="b" s="84">
        <v>0</v>
      </c>
      <c r="U24" t="b" s="84">
        <v>0</v>
      </c>
      <c r="V24" t="b" s="84">
        <v>0</v>
      </c>
      <c r="W24" t="s" s="16">
        <v>310</v>
      </c>
    </row>
    <row r="25" ht="44.05" customHeight="1">
      <c r="A25" t="s" s="69">
        <v>14</v>
      </c>
      <c r="B25" t="s" s="69">
        <v>311</v>
      </c>
      <c r="C25" t="s" s="14">
        <v>312</v>
      </c>
      <c r="D25" t="s" s="83">
        <v>237</v>
      </c>
      <c r="E25" t="s" s="16">
        <v>233</v>
      </c>
      <c r="F25" s="19"/>
      <c r="G25" s="19"/>
      <c r="H25" t="s" s="16">
        <v>313</v>
      </c>
      <c r="I25" t="b" s="84">
        <v>1</v>
      </c>
      <c r="J25" t="b" s="84">
        <v>1</v>
      </c>
      <c r="K25" t="b" s="84">
        <v>0</v>
      </c>
      <c r="L25" t="b" s="84">
        <v>0</v>
      </c>
      <c r="M25" t="b" s="84">
        <v>0</v>
      </c>
      <c r="N25" t="b" s="84">
        <v>0</v>
      </c>
      <c r="O25" t="b" s="84">
        <v>0</v>
      </c>
      <c r="P25" t="b" s="84">
        <v>0</v>
      </c>
      <c r="Q25" t="b" s="84">
        <v>0</v>
      </c>
      <c r="R25" t="b" s="84">
        <v>0</v>
      </c>
      <c r="S25" t="b" s="84">
        <v>0</v>
      </c>
      <c r="T25" t="b" s="84">
        <v>0</v>
      </c>
      <c r="U25" t="b" s="84">
        <v>0</v>
      </c>
      <c r="V25" t="b" s="84">
        <v>0</v>
      </c>
      <c r="W25" t="s" s="16">
        <v>314</v>
      </c>
    </row>
    <row r="26" ht="32.05" customHeight="1">
      <c r="A26" t="s" s="69">
        <v>14</v>
      </c>
      <c r="B26" t="s" s="69">
        <v>311</v>
      </c>
      <c r="C26" t="s" s="14">
        <v>315</v>
      </c>
      <c r="D26" t="s" s="83">
        <v>237</v>
      </c>
      <c r="E26" t="s" s="16">
        <v>233</v>
      </c>
      <c r="F26" s="19"/>
      <c r="G26" s="19"/>
      <c r="H26" s="19"/>
      <c r="I26" t="b" s="84">
        <v>1</v>
      </c>
      <c r="J26" t="b" s="84">
        <v>0</v>
      </c>
      <c r="K26" t="b" s="84">
        <v>0</v>
      </c>
      <c r="L26" t="b" s="84">
        <v>0</v>
      </c>
      <c r="M26" t="b" s="84">
        <v>0</v>
      </c>
      <c r="N26" t="b" s="84">
        <v>0</v>
      </c>
      <c r="O26" t="b" s="84">
        <v>0</v>
      </c>
      <c r="P26" t="b" s="84">
        <v>0</v>
      </c>
      <c r="Q26" t="b" s="84">
        <v>0</v>
      </c>
      <c r="R26" t="b" s="84">
        <v>0</v>
      </c>
      <c r="S26" t="b" s="84">
        <v>0</v>
      </c>
      <c r="T26" t="b" s="84">
        <v>0</v>
      </c>
      <c r="U26" t="b" s="84">
        <v>0</v>
      </c>
      <c r="V26" t="b" s="84">
        <v>0</v>
      </c>
      <c r="W26" t="s" s="16">
        <v>316</v>
      </c>
    </row>
    <row r="27" ht="32.05" customHeight="1">
      <c r="A27" t="s" s="69">
        <v>229</v>
      </c>
      <c r="B27" t="s" s="69">
        <v>317</v>
      </c>
      <c r="C27" t="s" s="14">
        <v>318</v>
      </c>
      <c r="D27" t="s" s="83">
        <v>319</v>
      </c>
      <c r="E27" t="s" s="16">
        <v>233</v>
      </c>
      <c r="F27" s="19"/>
      <c r="G27" s="19"/>
      <c r="H27" t="s" s="16">
        <v>320</v>
      </c>
      <c r="I27" t="b" s="84">
        <v>1</v>
      </c>
      <c r="J27" t="b" s="84">
        <v>0</v>
      </c>
      <c r="K27" t="b" s="84">
        <v>1</v>
      </c>
      <c r="L27" t="b" s="84">
        <v>1</v>
      </c>
      <c r="M27" t="b" s="84">
        <v>1</v>
      </c>
      <c r="N27" t="b" s="84">
        <v>1</v>
      </c>
      <c r="O27" t="b" s="84">
        <v>1</v>
      </c>
      <c r="P27" t="b" s="84">
        <v>1</v>
      </c>
      <c r="Q27" t="b" s="84">
        <v>1</v>
      </c>
      <c r="R27" t="b" s="84">
        <v>1</v>
      </c>
      <c r="S27" t="b" s="84">
        <v>1</v>
      </c>
      <c r="T27" t="b" s="84">
        <v>1</v>
      </c>
      <c r="U27" t="b" s="84">
        <v>0</v>
      </c>
      <c r="V27" t="b" s="84">
        <v>0</v>
      </c>
      <c r="W27" t="s" s="16">
        <v>321</v>
      </c>
    </row>
    <row r="28" ht="20.05" customHeight="1">
      <c r="A28" t="s" s="69">
        <v>14</v>
      </c>
      <c r="B28" t="s" s="69">
        <v>322</v>
      </c>
      <c r="C28" t="s" s="14">
        <v>323</v>
      </c>
      <c r="D28" t="s" s="83">
        <v>319</v>
      </c>
      <c r="E28" t="s" s="16">
        <v>233</v>
      </c>
      <c r="F28" s="19"/>
      <c r="G28" s="19"/>
      <c r="H28" t="s" s="16">
        <v>324</v>
      </c>
      <c r="I28" t="b" s="84">
        <v>1</v>
      </c>
      <c r="J28" t="b" s="84">
        <v>0</v>
      </c>
      <c r="K28" t="b" s="84">
        <v>0</v>
      </c>
      <c r="L28" t="b" s="84">
        <v>0</v>
      </c>
      <c r="M28" t="b" s="84">
        <v>1</v>
      </c>
      <c r="N28" t="b" s="84">
        <v>1</v>
      </c>
      <c r="O28" t="b" s="84">
        <v>1</v>
      </c>
      <c r="P28" t="b" s="84">
        <v>1</v>
      </c>
      <c r="Q28" t="b" s="84">
        <v>1</v>
      </c>
      <c r="R28" t="b" s="84">
        <v>1</v>
      </c>
      <c r="S28" t="b" s="84">
        <v>1</v>
      </c>
      <c r="T28" t="b" s="84">
        <v>0</v>
      </c>
      <c r="U28" t="b" s="84">
        <v>0</v>
      </c>
      <c r="V28" t="b" s="84">
        <v>0</v>
      </c>
      <c r="W28" t="s" s="16">
        <v>325</v>
      </c>
    </row>
    <row r="29" ht="20.05" customHeight="1">
      <c r="A29" t="s" s="69">
        <v>14</v>
      </c>
      <c r="B29" t="s" s="69">
        <v>326</v>
      </c>
      <c r="C29" t="s" s="14">
        <v>327</v>
      </c>
      <c r="D29" t="s" s="83">
        <v>319</v>
      </c>
      <c r="E29" t="s" s="16">
        <v>233</v>
      </c>
      <c r="F29" s="19"/>
      <c r="G29" s="19"/>
      <c r="H29" t="s" s="16">
        <v>328</v>
      </c>
      <c r="I29" t="b" s="84">
        <v>1</v>
      </c>
      <c r="J29" t="b" s="84">
        <v>1</v>
      </c>
      <c r="K29" t="b" s="84">
        <v>1</v>
      </c>
      <c r="L29" t="b" s="84">
        <v>1</v>
      </c>
      <c r="M29" t="b" s="84">
        <v>1</v>
      </c>
      <c r="N29" t="b" s="84">
        <v>1</v>
      </c>
      <c r="O29" t="b" s="84">
        <v>1</v>
      </c>
      <c r="P29" t="b" s="84">
        <v>1</v>
      </c>
      <c r="Q29" t="b" s="84">
        <v>1</v>
      </c>
      <c r="R29" t="b" s="84">
        <v>1</v>
      </c>
      <c r="S29" t="b" s="84">
        <v>1</v>
      </c>
      <c r="T29" t="b" s="84">
        <v>1</v>
      </c>
      <c r="U29" t="b" s="84">
        <v>0</v>
      </c>
      <c r="V29" t="b" s="84">
        <v>1</v>
      </c>
      <c r="W29" t="s" s="16">
        <v>325</v>
      </c>
    </row>
    <row r="30" ht="32.05" customHeight="1">
      <c r="A30" t="s" s="69">
        <v>14</v>
      </c>
      <c r="B30" s="71"/>
      <c r="C30" t="s" s="14">
        <v>329</v>
      </c>
      <c r="D30" t="s" s="83">
        <v>319</v>
      </c>
      <c r="E30" t="s" s="16">
        <v>233</v>
      </c>
      <c r="F30" s="19"/>
      <c r="G30" s="19"/>
      <c r="H30" t="s" s="16">
        <v>330</v>
      </c>
      <c r="I30" t="b" s="84">
        <v>1</v>
      </c>
      <c r="J30" t="b" s="84">
        <v>0</v>
      </c>
      <c r="K30" t="b" s="84">
        <v>1</v>
      </c>
      <c r="L30" t="b" s="84">
        <v>1</v>
      </c>
      <c r="M30" t="b" s="84">
        <v>1</v>
      </c>
      <c r="N30" t="b" s="84">
        <v>1</v>
      </c>
      <c r="O30" t="b" s="84">
        <v>1</v>
      </c>
      <c r="P30" t="b" s="84">
        <v>1</v>
      </c>
      <c r="Q30" t="b" s="84">
        <v>1</v>
      </c>
      <c r="R30" t="b" s="84">
        <v>1</v>
      </c>
      <c r="S30" t="b" s="84">
        <v>1</v>
      </c>
      <c r="T30" t="b" s="84">
        <v>1</v>
      </c>
      <c r="U30" t="b" s="84">
        <v>0</v>
      </c>
      <c r="V30" t="b" s="84">
        <v>0</v>
      </c>
      <c r="W30" t="s" s="16">
        <v>331</v>
      </c>
    </row>
    <row r="31" ht="20.05" customHeight="1">
      <c r="A31" t="s" s="69">
        <v>14</v>
      </c>
      <c r="B31" t="s" s="69">
        <v>332</v>
      </c>
      <c r="C31" t="s" s="14">
        <v>333</v>
      </c>
      <c r="D31" t="s" s="83">
        <v>319</v>
      </c>
      <c r="E31" t="s" s="16">
        <v>233</v>
      </c>
      <c r="F31" s="19"/>
      <c r="G31" s="19"/>
      <c r="H31" t="s" s="16">
        <v>334</v>
      </c>
      <c r="I31" t="b" s="84">
        <v>1</v>
      </c>
      <c r="J31" t="b" s="84">
        <v>1</v>
      </c>
      <c r="K31" t="b" s="84">
        <v>1</v>
      </c>
      <c r="L31" t="b" s="84">
        <v>1</v>
      </c>
      <c r="M31" t="b" s="84">
        <v>1</v>
      </c>
      <c r="N31" t="b" s="84">
        <v>1</v>
      </c>
      <c r="O31" t="b" s="84">
        <v>1</v>
      </c>
      <c r="P31" t="b" s="84">
        <v>1</v>
      </c>
      <c r="Q31" t="b" s="84">
        <v>1</v>
      </c>
      <c r="R31" t="b" s="84">
        <v>1</v>
      </c>
      <c r="S31" t="b" s="84">
        <v>1</v>
      </c>
      <c r="T31" t="b" s="84">
        <v>1</v>
      </c>
      <c r="U31" t="b" s="84">
        <v>0</v>
      </c>
      <c r="V31" t="b" s="84">
        <v>1</v>
      </c>
      <c r="W31" t="s" s="16">
        <v>325</v>
      </c>
    </row>
    <row r="32" ht="20.05" customHeight="1">
      <c r="A32" t="s" s="69">
        <v>14</v>
      </c>
      <c r="B32" t="s" s="69">
        <v>335</v>
      </c>
      <c r="C32" t="s" s="14">
        <v>336</v>
      </c>
      <c r="D32" t="s" s="83">
        <v>319</v>
      </c>
      <c r="E32" t="s" s="16">
        <v>233</v>
      </c>
      <c r="F32" s="19"/>
      <c r="G32" s="19"/>
      <c r="H32" t="s" s="16">
        <v>337</v>
      </c>
      <c r="I32" t="b" s="84">
        <v>1</v>
      </c>
      <c r="J32" t="b" s="84">
        <v>1</v>
      </c>
      <c r="K32" t="b" s="84">
        <v>1</v>
      </c>
      <c r="L32" t="b" s="84">
        <v>1</v>
      </c>
      <c r="M32" t="b" s="84">
        <v>1</v>
      </c>
      <c r="N32" t="b" s="84">
        <v>1</v>
      </c>
      <c r="O32" t="b" s="84">
        <v>1</v>
      </c>
      <c r="P32" t="b" s="84">
        <v>1</v>
      </c>
      <c r="Q32" t="b" s="84">
        <v>1</v>
      </c>
      <c r="R32" t="b" s="84">
        <v>1</v>
      </c>
      <c r="S32" t="b" s="84">
        <v>1</v>
      </c>
      <c r="T32" t="b" s="84">
        <v>1</v>
      </c>
      <c r="U32" t="b" s="84">
        <v>0</v>
      </c>
      <c r="V32" t="b" s="84">
        <v>1</v>
      </c>
      <c r="W32" t="s" s="16">
        <v>325</v>
      </c>
    </row>
    <row r="33" ht="20.05" customHeight="1">
      <c r="A33" t="s" s="69">
        <v>14</v>
      </c>
      <c r="B33" t="s" s="69">
        <v>338</v>
      </c>
      <c r="C33" t="s" s="14">
        <v>339</v>
      </c>
      <c r="D33" t="s" s="83">
        <v>319</v>
      </c>
      <c r="E33" t="s" s="16">
        <v>233</v>
      </c>
      <c r="F33" s="19"/>
      <c r="G33" s="19"/>
      <c r="H33" t="s" s="16">
        <v>340</v>
      </c>
      <c r="I33" t="b" s="84">
        <v>1</v>
      </c>
      <c r="J33" t="b" s="84">
        <v>0</v>
      </c>
      <c r="K33" t="b" s="84">
        <v>0</v>
      </c>
      <c r="L33" t="b" s="84">
        <v>0</v>
      </c>
      <c r="M33" t="b" s="84">
        <v>0</v>
      </c>
      <c r="N33" t="b" s="84">
        <v>1</v>
      </c>
      <c r="O33" t="b" s="84">
        <v>1</v>
      </c>
      <c r="P33" t="b" s="84">
        <v>1</v>
      </c>
      <c r="Q33" t="b" s="84">
        <v>1</v>
      </c>
      <c r="R33" t="b" s="84">
        <v>1</v>
      </c>
      <c r="S33" t="b" s="84">
        <v>1</v>
      </c>
      <c r="T33" t="b" s="84">
        <v>0</v>
      </c>
      <c r="U33" t="b" s="84">
        <v>0</v>
      </c>
      <c r="V33" t="b" s="84">
        <v>0</v>
      </c>
      <c r="W33" t="s" s="16">
        <v>325</v>
      </c>
    </row>
    <row r="34" ht="20.05" customHeight="1">
      <c r="A34" t="s" s="69">
        <v>14</v>
      </c>
      <c r="B34" t="s" s="69">
        <v>341</v>
      </c>
      <c r="C34" t="s" s="14">
        <v>342</v>
      </c>
      <c r="D34" t="s" s="83">
        <v>319</v>
      </c>
      <c r="E34" t="s" s="16">
        <v>233</v>
      </c>
      <c r="F34" s="19"/>
      <c r="G34" t="s" s="16">
        <v>343</v>
      </c>
      <c r="H34" t="s" s="16">
        <v>344</v>
      </c>
      <c r="I34" t="b" s="84">
        <v>1</v>
      </c>
      <c r="J34" t="b" s="84">
        <v>0</v>
      </c>
      <c r="K34" t="b" s="84">
        <v>0</v>
      </c>
      <c r="L34" t="b" s="84">
        <v>0</v>
      </c>
      <c r="M34" t="b" s="84">
        <v>0</v>
      </c>
      <c r="N34" t="b" s="84">
        <v>1</v>
      </c>
      <c r="O34" t="b" s="84">
        <v>1</v>
      </c>
      <c r="P34" t="b" s="84">
        <v>1</v>
      </c>
      <c r="Q34" t="b" s="84">
        <v>1</v>
      </c>
      <c r="R34" t="b" s="84">
        <v>1</v>
      </c>
      <c r="S34" t="b" s="84">
        <v>1</v>
      </c>
      <c r="T34" t="b" s="84">
        <v>0</v>
      </c>
      <c r="U34" t="b" s="84">
        <v>0</v>
      </c>
      <c r="V34" t="b" s="84">
        <v>0</v>
      </c>
      <c r="W34" t="s" s="16">
        <v>325</v>
      </c>
    </row>
    <row r="35" ht="20.05" customHeight="1">
      <c r="A35" t="s" s="69">
        <v>14</v>
      </c>
      <c r="B35" t="s" s="69">
        <v>345</v>
      </c>
      <c r="C35" t="s" s="14">
        <v>346</v>
      </c>
      <c r="D35" t="s" s="83">
        <v>319</v>
      </c>
      <c r="E35" t="s" s="16">
        <v>233</v>
      </c>
      <c r="F35" s="19"/>
      <c r="G35" t="s" s="16">
        <v>347</v>
      </c>
      <c r="H35" t="s" s="16">
        <v>348</v>
      </c>
      <c r="I35" t="b" s="84">
        <v>1</v>
      </c>
      <c r="J35" t="b" s="84">
        <v>1</v>
      </c>
      <c r="K35" t="b" s="84">
        <v>1</v>
      </c>
      <c r="L35" t="b" s="84">
        <v>1</v>
      </c>
      <c r="M35" t="b" s="84">
        <v>1</v>
      </c>
      <c r="N35" t="b" s="84">
        <v>1</v>
      </c>
      <c r="O35" t="b" s="84">
        <v>1</v>
      </c>
      <c r="P35" t="b" s="84">
        <v>1</v>
      </c>
      <c r="Q35" t="b" s="84">
        <v>1</v>
      </c>
      <c r="R35" t="b" s="84">
        <v>1</v>
      </c>
      <c r="S35" t="b" s="84">
        <v>1</v>
      </c>
      <c r="T35" t="b" s="84">
        <v>1</v>
      </c>
      <c r="U35" t="b" s="84">
        <v>0</v>
      </c>
      <c r="V35" t="b" s="84">
        <v>1</v>
      </c>
      <c r="W35" t="s" s="16">
        <v>325</v>
      </c>
    </row>
    <row r="36" ht="20.05" customHeight="1">
      <c r="A36" t="s" s="69">
        <v>14</v>
      </c>
      <c r="B36" t="s" s="69">
        <v>349</v>
      </c>
      <c r="C36" t="s" s="14">
        <v>350</v>
      </c>
      <c r="D36" t="s" s="83">
        <v>319</v>
      </c>
      <c r="E36" t="s" s="16">
        <v>233</v>
      </c>
      <c r="F36" s="19"/>
      <c r="G36" t="s" s="16">
        <v>351</v>
      </c>
      <c r="H36" t="s" s="16">
        <v>352</v>
      </c>
      <c r="I36" t="b" s="84">
        <v>1</v>
      </c>
      <c r="J36" t="b" s="84">
        <v>0</v>
      </c>
      <c r="K36" t="b" s="84">
        <v>0</v>
      </c>
      <c r="L36" t="b" s="84">
        <v>0</v>
      </c>
      <c r="M36" t="b" s="84">
        <v>0</v>
      </c>
      <c r="N36" t="b" s="84">
        <v>1</v>
      </c>
      <c r="O36" t="b" s="84">
        <v>1</v>
      </c>
      <c r="P36" t="b" s="84">
        <v>1</v>
      </c>
      <c r="Q36" t="b" s="84">
        <v>1</v>
      </c>
      <c r="R36" t="b" s="84">
        <v>0</v>
      </c>
      <c r="S36" t="b" s="84">
        <v>1</v>
      </c>
      <c r="T36" t="b" s="84">
        <v>0</v>
      </c>
      <c r="U36" t="b" s="84">
        <v>0</v>
      </c>
      <c r="V36" t="b" s="84">
        <v>0</v>
      </c>
      <c r="W36" t="s" s="16">
        <v>325</v>
      </c>
    </row>
    <row r="37" ht="20.05" customHeight="1">
      <c r="A37" t="s" s="69">
        <v>14</v>
      </c>
      <c r="B37" t="s" s="69">
        <v>234</v>
      </c>
      <c r="C37" t="s" s="14">
        <v>236</v>
      </c>
      <c r="D37" t="s" s="83">
        <v>353</v>
      </c>
      <c r="E37" t="s" s="16">
        <v>233</v>
      </c>
      <c r="F37" t="s" s="16">
        <v>354</v>
      </c>
      <c r="G37" s="19"/>
      <c r="H37" s="19"/>
      <c r="I37" t="b" s="84">
        <v>1</v>
      </c>
      <c r="J37" t="b" s="84">
        <v>1</v>
      </c>
      <c r="K37" t="b" s="84">
        <v>1</v>
      </c>
      <c r="L37" t="b" s="84">
        <v>1</v>
      </c>
      <c r="M37" t="b" s="84">
        <v>1</v>
      </c>
      <c r="N37" t="b" s="84">
        <v>1</v>
      </c>
      <c r="O37" t="b" s="84">
        <v>1</v>
      </c>
      <c r="P37" t="b" s="84">
        <v>1</v>
      </c>
      <c r="Q37" t="b" s="84">
        <v>1</v>
      </c>
      <c r="R37" t="b" s="84">
        <v>1</v>
      </c>
      <c r="S37" t="b" s="84">
        <v>1</v>
      </c>
      <c r="T37" t="b" s="84">
        <v>1</v>
      </c>
      <c r="U37" t="b" s="84">
        <v>0</v>
      </c>
      <c r="V37" t="b" s="84">
        <v>0</v>
      </c>
      <c r="W37" t="s" s="16">
        <v>355</v>
      </c>
    </row>
    <row r="38" ht="44.05" customHeight="1">
      <c r="A38" t="s" s="69">
        <v>14</v>
      </c>
      <c r="B38" t="s" s="69">
        <v>356</v>
      </c>
      <c r="C38" t="s" s="14">
        <v>357</v>
      </c>
      <c r="D38" t="s" s="83">
        <v>353</v>
      </c>
      <c r="E38" t="s" s="16">
        <v>233</v>
      </c>
      <c r="F38" s="43"/>
      <c r="G38" s="19"/>
      <c r="H38" s="19"/>
      <c r="I38" t="b" s="84">
        <v>1</v>
      </c>
      <c r="J38" t="b" s="84">
        <v>0</v>
      </c>
      <c r="K38" t="b" s="84">
        <v>1</v>
      </c>
      <c r="L38" t="b" s="84">
        <v>1</v>
      </c>
      <c r="M38" t="b" s="84">
        <v>1</v>
      </c>
      <c r="N38" t="b" s="84">
        <v>1</v>
      </c>
      <c r="O38" t="b" s="84">
        <v>1</v>
      </c>
      <c r="P38" t="b" s="84">
        <v>1</v>
      </c>
      <c r="Q38" t="b" s="84">
        <v>1</v>
      </c>
      <c r="R38" t="b" s="84">
        <v>1</v>
      </c>
      <c r="S38" t="b" s="84">
        <v>1</v>
      </c>
      <c r="T38" t="b" s="84">
        <v>1</v>
      </c>
      <c r="U38" t="b" s="84">
        <v>0</v>
      </c>
      <c r="V38" t="b" s="84">
        <v>0</v>
      </c>
      <c r="W38" t="s" s="16">
        <v>358</v>
      </c>
    </row>
    <row r="39" ht="20.05" customHeight="1">
      <c r="A39" t="s" s="69">
        <v>14</v>
      </c>
      <c r="B39" t="s" s="69">
        <v>234</v>
      </c>
      <c r="C39" t="s" s="14">
        <v>359</v>
      </c>
      <c r="D39" t="s" s="83">
        <v>353</v>
      </c>
      <c r="E39" t="s" s="16">
        <v>233</v>
      </c>
      <c r="F39" t="s" s="16">
        <v>360</v>
      </c>
      <c r="G39" s="19"/>
      <c r="H39" s="19"/>
      <c r="I39" t="b" s="84">
        <v>1</v>
      </c>
      <c r="J39" t="b" s="84">
        <v>1</v>
      </c>
      <c r="K39" t="b" s="84">
        <v>1</v>
      </c>
      <c r="L39" t="b" s="84">
        <v>1</v>
      </c>
      <c r="M39" t="b" s="84">
        <v>1</v>
      </c>
      <c r="N39" t="b" s="84">
        <v>1</v>
      </c>
      <c r="O39" t="b" s="84">
        <v>1</v>
      </c>
      <c r="P39" t="b" s="84">
        <v>1</v>
      </c>
      <c r="Q39" t="b" s="84">
        <v>1</v>
      </c>
      <c r="R39" t="b" s="84">
        <v>1</v>
      </c>
      <c r="S39" t="b" s="84">
        <v>1</v>
      </c>
      <c r="T39" t="b" s="84">
        <v>1</v>
      </c>
      <c r="U39" t="b" s="84">
        <v>0</v>
      </c>
      <c r="V39" t="b" s="84">
        <v>0</v>
      </c>
      <c r="W39" t="s" s="16">
        <v>361</v>
      </c>
    </row>
    <row r="40" ht="44.05" customHeight="1">
      <c r="A40" t="s" s="69">
        <v>14</v>
      </c>
      <c r="B40" t="s" s="69">
        <v>362</v>
      </c>
      <c r="C40" t="s" s="14">
        <v>363</v>
      </c>
      <c r="D40" t="s" s="83">
        <v>353</v>
      </c>
      <c r="E40" t="s" s="16">
        <v>233</v>
      </c>
      <c r="F40" s="43"/>
      <c r="G40" s="19"/>
      <c r="H40" s="19"/>
      <c r="I40" t="b" s="84">
        <v>1</v>
      </c>
      <c r="J40" t="b" s="84">
        <v>0</v>
      </c>
      <c r="K40" t="b" s="84">
        <v>1</v>
      </c>
      <c r="L40" t="b" s="84">
        <v>1</v>
      </c>
      <c r="M40" t="b" s="84">
        <v>1</v>
      </c>
      <c r="N40" t="b" s="84">
        <v>1</v>
      </c>
      <c r="O40" t="b" s="84">
        <v>1</v>
      </c>
      <c r="P40" t="b" s="84">
        <v>1</v>
      </c>
      <c r="Q40" t="b" s="84">
        <v>1</v>
      </c>
      <c r="R40" t="b" s="84">
        <v>1</v>
      </c>
      <c r="S40" t="b" s="84">
        <v>1</v>
      </c>
      <c r="T40" t="b" s="84">
        <v>1</v>
      </c>
      <c r="U40" t="b" s="84">
        <v>0</v>
      </c>
      <c r="V40" t="b" s="84">
        <v>0</v>
      </c>
      <c r="W40" t="s" s="16">
        <v>364</v>
      </c>
    </row>
    <row r="41" ht="20.05" customHeight="1">
      <c r="A41" t="s" s="69">
        <v>14</v>
      </c>
      <c r="B41" t="s" s="69">
        <v>234</v>
      </c>
      <c r="C41" t="s" s="14">
        <v>365</v>
      </c>
      <c r="D41" t="s" s="83">
        <v>353</v>
      </c>
      <c r="E41" t="s" s="16">
        <v>233</v>
      </c>
      <c r="F41" t="s" s="16">
        <v>366</v>
      </c>
      <c r="G41" s="19"/>
      <c r="H41" s="19"/>
      <c r="I41" t="b" s="84">
        <v>1</v>
      </c>
      <c r="J41" t="b" s="84">
        <v>1</v>
      </c>
      <c r="K41" t="b" s="84">
        <v>1</v>
      </c>
      <c r="L41" t="b" s="84">
        <v>1</v>
      </c>
      <c r="M41" t="b" s="84">
        <v>1</v>
      </c>
      <c r="N41" t="b" s="84">
        <v>1</v>
      </c>
      <c r="O41" t="b" s="84">
        <v>1</v>
      </c>
      <c r="P41" t="b" s="84">
        <v>1</v>
      </c>
      <c r="Q41" t="b" s="84">
        <v>1</v>
      </c>
      <c r="R41" t="b" s="84">
        <v>0</v>
      </c>
      <c r="S41" t="b" s="84">
        <v>1</v>
      </c>
      <c r="T41" t="b" s="84">
        <v>1</v>
      </c>
      <c r="U41" t="b" s="84">
        <v>0</v>
      </c>
      <c r="V41" t="b" s="84">
        <v>1</v>
      </c>
      <c r="W41" t="s" s="16">
        <v>367</v>
      </c>
    </row>
    <row r="42" ht="24" customHeight="1">
      <c r="A42" t="s" s="69">
        <v>14</v>
      </c>
      <c r="B42" t="s" s="69">
        <v>368</v>
      </c>
      <c r="C42" t="s" s="14">
        <v>369</v>
      </c>
      <c r="D42" t="s" s="83">
        <v>353</v>
      </c>
      <c r="E42" t="s" s="16">
        <v>233</v>
      </c>
      <c r="F42" s="43"/>
      <c r="G42" s="19"/>
      <c r="H42" s="19"/>
      <c r="I42" t="b" s="84">
        <v>1</v>
      </c>
      <c r="J42" t="b" s="84">
        <v>0</v>
      </c>
      <c r="K42" t="b" s="84">
        <v>1</v>
      </c>
      <c r="L42" t="b" s="84">
        <v>1</v>
      </c>
      <c r="M42" t="b" s="84">
        <v>1</v>
      </c>
      <c r="N42" t="b" s="84">
        <v>1</v>
      </c>
      <c r="O42" t="b" s="84">
        <v>1</v>
      </c>
      <c r="P42" t="b" s="84">
        <v>1</v>
      </c>
      <c r="Q42" t="b" s="84">
        <v>1</v>
      </c>
      <c r="R42" t="b" s="84">
        <v>1</v>
      </c>
      <c r="S42" t="b" s="84">
        <v>1</v>
      </c>
      <c r="T42" t="b" s="84">
        <v>1</v>
      </c>
      <c r="U42" t="b" s="84">
        <v>0</v>
      </c>
      <c r="V42" t="b" s="84">
        <v>0</v>
      </c>
      <c r="W42" t="s" s="16">
        <v>370</v>
      </c>
    </row>
    <row r="43" ht="44.05" customHeight="1">
      <c r="A43" t="s" s="69">
        <v>14</v>
      </c>
      <c r="B43" t="s" s="69">
        <v>234</v>
      </c>
      <c r="C43" t="s" s="14">
        <v>371</v>
      </c>
      <c r="D43" t="s" s="83">
        <v>353</v>
      </c>
      <c r="E43" t="s" s="16">
        <v>233</v>
      </c>
      <c r="F43" t="s" s="16">
        <v>372</v>
      </c>
      <c r="G43" s="19"/>
      <c r="H43" s="19"/>
      <c r="I43" t="b" s="84">
        <v>1</v>
      </c>
      <c r="J43" t="b" s="84">
        <v>1</v>
      </c>
      <c r="K43" t="b" s="84">
        <v>1</v>
      </c>
      <c r="L43" t="b" s="84">
        <v>1</v>
      </c>
      <c r="M43" t="b" s="84">
        <v>1</v>
      </c>
      <c r="N43" t="b" s="84">
        <v>1</v>
      </c>
      <c r="O43" t="b" s="84">
        <v>1</v>
      </c>
      <c r="P43" t="b" s="84">
        <v>1</v>
      </c>
      <c r="Q43" t="b" s="84">
        <v>1</v>
      </c>
      <c r="R43" t="b" s="84">
        <v>1</v>
      </c>
      <c r="S43" t="b" s="84">
        <v>1</v>
      </c>
      <c r="T43" t="b" s="84">
        <v>1</v>
      </c>
      <c r="U43" t="b" s="84">
        <v>0</v>
      </c>
      <c r="V43" t="b" s="84">
        <v>1</v>
      </c>
      <c r="W43" t="s" s="16">
        <v>373</v>
      </c>
    </row>
    <row r="44" ht="32.05" customHeight="1">
      <c r="A44" t="s" s="69">
        <v>374</v>
      </c>
      <c r="B44" t="s" s="69">
        <v>375</v>
      </c>
      <c r="C44" t="s" s="14">
        <v>376</v>
      </c>
      <c r="D44" t="s" s="83">
        <v>353</v>
      </c>
      <c r="E44" t="s" s="16">
        <v>233</v>
      </c>
      <c r="F44" s="19"/>
      <c r="G44" s="19"/>
      <c r="H44" s="19"/>
      <c r="I44" t="b" s="84">
        <v>1</v>
      </c>
      <c r="J44" t="b" s="84">
        <v>0</v>
      </c>
      <c r="K44" t="b" s="84">
        <v>0</v>
      </c>
      <c r="L44" t="b" s="84">
        <v>0</v>
      </c>
      <c r="M44" t="b" s="84">
        <v>0</v>
      </c>
      <c r="N44" t="b" s="84">
        <v>0</v>
      </c>
      <c r="O44" t="b" s="84">
        <v>0</v>
      </c>
      <c r="P44" t="b" s="84">
        <v>0</v>
      </c>
      <c r="Q44" t="b" s="84">
        <v>0</v>
      </c>
      <c r="R44" t="b" s="84">
        <v>0</v>
      </c>
      <c r="S44" t="b" s="84">
        <v>0</v>
      </c>
      <c r="T44" t="b" s="84">
        <v>0</v>
      </c>
      <c r="U44" t="b" s="84">
        <v>0</v>
      </c>
      <c r="V44" t="b" s="84">
        <v>0</v>
      </c>
      <c r="W44" t="s" s="16">
        <v>377</v>
      </c>
    </row>
    <row r="45" ht="32.05" customHeight="1">
      <c r="A45" t="s" s="69">
        <v>14</v>
      </c>
      <c r="B45" t="s" s="69">
        <v>378</v>
      </c>
      <c r="C45" t="s" s="14">
        <v>379</v>
      </c>
      <c r="D45" t="s" s="83">
        <v>353</v>
      </c>
      <c r="E45" t="s" s="16">
        <v>233</v>
      </c>
      <c r="F45" t="s" s="16">
        <v>380</v>
      </c>
      <c r="G45" s="19"/>
      <c r="H45" s="19"/>
      <c r="I45" t="b" s="84">
        <v>1</v>
      </c>
      <c r="J45" t="b" s="84">
        <v>1</v>
      </c>
      <c r="K45" t="b" s="84">
        <v>1</v>
      </c>
      <c r="L45" t="b" s="84">
        <v>1</v>
      </c>
      <c r="M45" t="b" s="84">
        <v>1</v>
      </c>
      <c r="N45" t="b" s="84">
        <v>1</v>
      </c>
      <c r="O45" t="b" s="84">
        <v>1</v>
      </c>
      <c r="P45" t="b" s="84">
        <v>1</v>
      </c>
      <c r="Q45" t="b" s="84">
        <v>1</v>
      </c>
      <c r="R45" t="b" s="84">
        <v>0</v>
      </c>
      <c r="S45" t="b" s="84">
        <v>1</v>
      </c>
      <c r="T45" t="b" s="84">
        <v>1</v>
      </c>
      <c r="U45" t="b" s="84">
        <v>0</v>
      </c>
      <c r="V45" t="b" s="84">
        <v>0</v>
      </c>
      <c r="W45" t="s" s="16">
        <v>381</v>
      </c>
    </row>
    <row r="46" ht="32.05" customHeight="1">
      <c r="A46" t="s" s="69">
        <v>14</v>
      </c>
      <c r="B46" t="s" s="69">
        <v>382</v>
      </c>
      <c r="C46" t="s" s="14">
        <v>383</v>
      </c>
      <c r="D46" t="s" s="83">
        <v>353</v>
      </c>
      <c r="E46" t="s" s="16">
        <v>233</v>
      </c>
      <c r="F46" s="43"/>
      <c r="G46" s="19"/>
      <c r="H46" s="19"/>
      <c r="I46" t="b" s="84">
        <v>1</v>
      </c>
      <c r="J46" t="b" s="84">
        <v>0</v>
      </c>
      <c r="K46" t="b" s="84">
        <v>1</v>
      </c>
      <c r="L46" t="b" s="84">
        <v>1</v>
      </c>
      <c r="M46" t="b" s="84">
        <v>1</v>
      </c>
      <c r="N46" t="b" s="84">
        <v>1</v>
      </c>
      <c r="O46" t="b" s="84">
        <v>1</v>
      </c>
      <c r="P46" t="b" s="84">
        <v>1</v>
      </c>
      <c r="Q46" t="b" s="84">
        <v>1</v>
      </c>
      <c r="R46" t="b" s="84">
        <v>0</v>
      </c>
      <c r="S46" t="b" s="84">
        <v>1</v>
      </c>
      <c r="T46" t="b" s="84">
        <v>1</v>
      </c>
      <c r="U46" t="b" s="84">
        <v>0</v>
      </c>
      <c r="V46" t="b" s="84">
        <v>0</v>
      </c>
      <c r="W46" t="s" s="16">
        <v>384</v>
      </c>
    </row>
    <row r="47" ht="32.05" customHeight="1">
      <c r="A47" t="s" s="69">
        <v>374</v>
      </c>
      <c r="B47" t="s" s="69">
        <v>385</v>
      </c>
      <c r="C47" t="s" s="14">
        <v>284</v>
      </c>
      <c r="D47" t="s" s="83">
        <v>353</v>
      </c>
      <c r="E47" t="s" s="16">
        <v>233</v>
      </c>
      <c r="F47" s="19"/>
      <c r="G47" s="19"/>
      <c r="H47" s="19"/>
      <c r="I47" t="b" s="84">
        <v>1</v>
      </c>
      <c r="J47" t="b" s="84">
        <v>0</v>
      </c>
      <c r="K47" t="b" s="84">
        <v>0</v>
      </c>
      <c r="L47" t="b" s="84">
        <v>1</v>
      </c>
      <c r="M47" t="b" s="84">
        <v>1</v>
      </c>
      <c r="N47" t="b" s="84">
        <v>1</v>
      </c>
      <c r="O47" t="b" s="84">
        <v>1</v>
      </c>
      <c r="P47" t="b" s="84">
        <v>1</v>
      </c>
      <c r="Q47" t="b" s="84">
        <v>1</v>
      </c>
      <c r="R47" t="b" s="84">
        <v>1</v>
      </c>
      <c r="S47" t="b" s="84">
        <v>1</v>
      </c>
      <c r="T47" t="b" s="84">
        <v>0</v>
      </c>
      <c r="U47" t="b" s="84">
        <v>0</v>
      </c>
      <c r="V47" t="b" s="84">
        <v>0</v>
      </c>
      <c r="W47" t="s" s="16">
        <v>386</v>
      </c>
    </row>
    <row r="48" ht="32.05" customHeight="1">
      <c r="A48" t="s" s="69">
        <v>374</v>
      </c>
      <c r="B48" t="s" s="69">
        <v>385</v>
      </c>
      <c r="C48" t="s" s="14">
        <v>387</v>
      </c>
      <c r="D48" t="s" s="83">
        <v>353</v>
      </c>
      <c r="E48" t="s" s="16">
        <v>233</v>
      </c>
      <c r="F48" s="19"/>
      <c r="G48" s="19"/>
      <c r="H48" s="19"/>
      <c r="I48" t="b" s="84">
        <v>1</v>
      </c>
      <c r="J48" t="b" s="84">
        <v>0</v>
      </c>
      <c r="K48" t="b" s="84">
        <v>0</v>
      </c>
      <c r="L48" t="b" s="84">
        <v>1</v>
      </c>
      <c r="M48" t="b" s="84">
        <v>1</v>
      </c>
      <c r="N48" t="b" s="84">
        <v>1</v>
      </c>
      <c r="O48" t="b" s="84">
        <v>1</v>
      </c>
      <c r="P48" t="b" s="84">
        <v>1</v>
      </c>
      <c r="Q48" t="b" s="84">
        <v>1</v>
      </c>
      <c r="R48" t="b" s="84">
        <v>1</v>
      </c>
      <c r="S48" t="b" s="84">
        <v>1</v>
      </c>
      <c r="T48" t="b" s="84">
        <v>0</v>
      </c>
      <c r="U48" t="b" s="84">
        <v>0</v>
      </c>
      <c r="V48" t="b" s="84">
        <v>0</v>
      </c>
      <c r="W48" t="s" s="16">
        <v>388</v>
      </c>
    </row>
    <row r="49" ht="20.05" customHeight="1">
      <c r="A49" t="s" s="69">
        <v>374</v>
      </c>
      <c r="B49" t="s" s="69">
        <v>385</v>
      </c>
      <c r="C49" t="s" s="14">
        <v>389</v>
      </c>
      <c r="D49" t="s" s="83">
        <v>353</v>
      </c>
      <c r="E49" t="s" s="16">
        <v>233</v>
      </c>
      <c r="F49" s="19"/>
      <c r="G49" s="19"/>
      <c r="H49" s="19"/>
      <c r="I49" t="b" s="84">
        <v>1</v>
      </c>
      <c r="J49" t="b" s="84">
        <v>0</v>
      </c>
      <c r="K49" t="b" s="84">
        <v>0</v>
      </c>
      <c r="L49" t="b" s="84">
        <v>1</v>
      </c>
      <c r="M49" t="b" s="84">
        <v>1</v>
      </c>
      <c r="N49" t="b" s="84">
        <v>1</v>
      </c>
      <c r="O49" t="b" s="84">
        <v>1</v>
      </c>
      <c r="P49" t="b" s="84">
        <v>1</v>
      </c>
      <c r="Q49" t="b" s="84">
        <v>1</v>
      </c>
      <c r="R49" t="b" s="84">
        <v>1</v>
      </c>
      <c r="S49" t="b" s="84">
        <v>1</v>
      </c>
      <c r="T49" t="b" s="84">
        <v>0</v>
      </c>
      <c r="U49" t="b" s="84">
        <v>0</v>
      </c>
      <c r="V49" t="b" s="84">
        <v>0</v>
      </c>
      <c r="W49" t="s" s="16">
        <v>390</v>
      </c>
    </row>
    <row r="50" ht="32.05" customHeight="1">
      <c r="A50" t="s" s="69">
        <v>374</v>
      </c>
      <c r="B50" s="71"/>
      <c r="C50" t="s" s="14">
        <v>391</v>
      </c>
      <c r="D50" t="s" s="83">
        <v>353</v>
      </c>
      <c r="E50" t="s" s="16">
        <v>233</v>
      </c>
      <c r="F50" s="19"/>
      <c r="G50" s="19"/>
      <c r="H50" s="19"/>
      <c r="I50" t="b" s="84">
        <v>1</v>
      </c>
      <c r="J50" t="b" s="84">
        <v>0</v>
      </c>
      <c r="K50" t="b" s="84">
        <v>0</v>
      </c>
      <c r="L50" t="b" s="84">
        <v>1</v>
      </c>
      <c r="M50" t="b" s="84">
        <v>1</v>
      </c>
      <c r="N50" t="b" s="84">
        <v>1</v>
      </c>
      <c r="O50" t="b" s="84">
        <v>1</v>
      </c>
      <c r="P50" t="b" s="84">
        <v>1</v>
      </c>
      <c r="Q50" t="b" s="84">
        <v>1</v>
      </c>
      <c r="R50" t="b" s="84">
        <v>1</v>
      </c>
      <c r="S50" t="b" s="84">
        <v>1</v>
      </c>
      <c r="T50" t="b" s="84">
        <v>0</v>
      </c>
      <c r="U50" t="b" s="84">
        <v>0</v>
      </c>
      <c r="V50" t="b" s="84">
        <v>0</v>
      </c>
      <c r="W50" t="s" s="16">
        <v>392</v>
      </c>
    </row>
    <row r="51" ht="20.05" customHeight="1">
      <c r="A51" t="s" s="69">
        <v>374</v>
      </c>
      <c r="B51" t="s" s="69">
        <v>385</v>
      </c>
      <c r="C51" t="s" s="14">
        <v>393</v>
      </c>
      <c r="D51" t="s" s="83">
        <v>353</v>
      </c>
      <c r="E51" t="s" s="16">
        <v>233</v>
      </c>
      <c r="F51" s="19"/>
      <c r="G51" s="19"/>
      <c r="H51" s="19"/>
      <c r="I51" t="b" s="84">
        <v>1</v>
      </c>
      <c r="J51" t="b" s="84">
        <v>0</v>
      </c>
      <c r="K51" t="b" s="84">
        <v>0</v>
      </c>
      <c r="L51" t="b" s="84">
        <v>1</v>
      </c>
      <c r="M51" t="b" s="84">
        <v>1</v>
      </c>
      <c r="N51" t="b" s="84">
        <v>1</v>
      </c>
      <c r="O51" t="b" s="84">
        <v>1</v>
      </c>
      <c r="P51" t="b" s="84">
        <v>1</v>
      </c>
      <c r="Q51" t="b" s="84">
        <v>1</v>
      </c>
      <c r="R51" t="b" s="84">
        <v>1</v>
      </c>
      <c r="S51" t="b" s="84">
        <v>1</v>
      </c>
      <c r="T51" t="b" s="84">
        <v>0</v>
      </c>
      <c r="U51" t="b" s="84">
        <v>0</v>
      </c>
      <c r="V51" t="b" s="84">
        <v>0</v>
      </c>
      <c r="W51" t="s" s="16">
        <v>394</v>
      </c>
    </row>
    <row r="52" ht="32.05" customHeight="1">
      <c r="A52" t="s" s="69">
        <v>374</v>
      </c>
      <c r="B52" s="71"/>
      <c r="C52" t="s" s="14">
        <v>395</v>
      </c>
      <c r="D52" t="s" s="83">
        <v>353</v>
      </c>
      <c r="E52" t="s" s="16">
        <v>233</v>
      </c>
      <c r="F52" s="19"/>
      <c r="G52" s="19"/>
      <c r="H52" s="19"/>
      <c r="I52" t="b" s="84">
        <v>1</v>
      </c>
      <c r="J52" t="b" s="84">
        <v>0</v>
      </c>
      <c r="K52" t="b" s="84">
        <v>0</v>
      </c>
      <c r="L52" t="b" s="84">
        <v>1</v>
      </c>
      <c r="M52" t="b" s="84">
        <v>1</v>
      </c>
      <c r="N52" t="b" s="84">
        <v>1</v>
      </c>
      <c r="O52" t="b" s="84">
        <v>1</v>
      </c>
      <c r="P52" t="b" s="84">
        <v>1</v>
      </c>
      <c r="Q52" t="b" s="84">
        <v>1</v>
      </c>
      <c r="R52" t="b" s="84">
        <v>1</v>
      </c>
      <c r="S52" t="b" s="84">
        <v>1</v>
      </c>
      <c r="T52" t="b" s="84">
        <v>0</v>
      </c>
      <c r="U52" t="b" s="84">
        <v>0</v>
      </c>
      <c r="V52" t="b" s="84">
        <v>0</v>
      </c>
      <c r="W52" t="s" s="16">
        <v>396</v>
      </c>
    </row>
    <row r="53" ht="20.05" customHeight="1">
      <c r="A53" t="s" s="69">
        <v>374</v>
      </c>
      <c r="B53" t="s" s="69">
        <v>234</v>
      </c>
      <c r="C53" t="s" s="14">
        <v>397</v>
      </c>
      <c r="D53" t="s" s="83">
        <v>353</v>
      </c>
      <c r="E53" t="s" s="16">
        <v>233</v>
      </c>
      <c r="F53" s="19"/>
      <c r="G53" s="19"/>
      <c r="H53" s="19"/>
      <c r="I53" t="b" s="84">
        <v>1</v>
      </c>
      <c r="J53" t="b" s="84">
        <v>0</v>
      </c>
      <c r="K53" t="b" s="84">
        <v>0</v>
      </c>
      <c r="L53" t="b" s="84">
        <v>0</v>
      </c>
      <c r="M53" t="b" s="84">
        <v>0</v>
      </c>
      <c r="N53" t="b" s="84">
        <v>1</v>
      </c>
      <c r="O53" t="b" s="84">
        <v>1</v>
      </c>
      <c r="P53" t="b" s="84">
        <v>1</v>
      </c>
      <c r="Q53" t="b" s="84">
        <v>1</v>
      </c>
      <c r="R53" t="b" s="84">
        <v>1</v>
      </c>
      <c r="S53" t="b" s="84">
        <v>1</v>
      </c>
      <c r="T53" t="b" s="84">
        <v>0</v>
      </c>
      <c r="U53" t="b" s="84">
        <v>0</v>
      </c>
      <c r="V53" t="b" s="84">
        <v>0</v>
      </c>
      <c r="W53" t="s" s="16">
        <v>398</v>
      </c>
    </row>
    <row r="54" ht="32.05" customHeight="1">
      <c r="A54" t="s" s="69">
        <v>374</v>
      </c>
      <c r="B54" s="71"/>
      <c r="C54" t="s" s="14">
        <v>393</v>
      </c>
      <c r="D54" t="s" s="83">
        <v>353</v>
      </c>
      <c r="E54" t="s" s="16">
        <v>233</v>
      </c>
      <c r="F54" s="19"/>
      <c r="G54" s="19"/>
      <c r="H54" s="19"/>
      <c r="I54" t="b" s="84">
        <v>1</v>
      </c>
      <c r="J54" t="b" s="84">
        <v>0</v>
      </c>
      <c r="K54" t="b" s="84">
        <v>0</v>
      </c>
      <c r="L54" t="b" s="84">
        <v>0</v>
      </c>
      <c r="M54" t="b" s="84">
        <v>0</v>
      </c>
      <c r="N54" t="b" s="84">
        <v>1</v>
      </c>
      <c r="O54" t="b" s="84">
        <v>1</v>
      </c>
      <c r="P54" t="b" s="84">
        <v>1</v>
      </c>
      <c r="Q54" t="b" s="84">
        <v>1</v>
      </c>
      <c r="R54" t="b" s="84">
        <v>1</v>
      </c>
      <c r="S54" t="b" s="84">
        <v>1</v>
      </c>
      <c r="T54" t="b" s="84">
        <v>0</v>
      </c>
      <c r="U54" t="b" s="84">
        <v>0</v>
      </c>
      <c r="V54" t="b" s="84">
        <v>0</v>
      </c>
      <c r="W54" t="s" s="16">
        <v>399</v>
      </c>
    </row>
    <row r="55" ht="32.05" customHeight="1">
      <c r="A55" t="s" s="69">
        <v>374</v>
      </c>
      <c r="B55" t="s" s="69">
        <v>234</v>
      </c>
      <c r="C55" t="s" s="14">
        <v>400</v>
      </c>
      <c r="D55" t="s" s="83">
        <v>353</v>
      </c>
      <c r="E55" t="s" s="16">
        <v>233</v>
      </c>
      <c r="F55" s="19"/>
      <c r="G55" s="19"/>
      <c r="H55" s="19"/>
      <c r="I55" t="b" s="84">
        <v>1</v>
      </c>
      <c r="J55" t="b" s="84">
        <v>0</v>
      </c>
      <c r="K55" t="b" s="84">
        <v>0</v>
      </c>
      <c r="L55" t="b" s="84">
        <v>0</v>
      </c>
      <c r="M55" t="b" s="84">
        <v>0</v>
      </c>
      <c r="N55" t="b" s="84">
        <v>1</v>
      </c>
      <c r="O55" t="b" s="84">
        <v>1</v>
      </c>
      <c r="P55" t="b" s="84">
        <v>1</v>
      </c>
      <c r="Q55" t="b" s="84">
        <v>1</v>
      </c>
      <c r="R55" t="b" s="84">
        <v>1</v>
      </c>
      <c r="S55" t="b" s="84">
        <v>1</v>
      </c>
      <c r="T55" t="b" s="84">
        <v>0</v>
      </c>
      <c r="U55" t="b" s="84">
        <v>0</v>
      </c>
      <c r="V55" t="b" s="84">
        <v>0</v>
      </c>
      <c r="W55" t="s" s="16">
        <v>401</v>
      </c>
    </row>
    <row r="56" ht="32.05" customHeight="1">
      <c r="A56" t="s" s="69">
        <v>374</v>
      </c>
      <c r="B56" s="71"/>
      <c r="C56" t="s" s="14">
        <v>402</v>
      </c>
      <c r="D56" t="s" s="83">
        <v>353</v>
      </c>
      <c r="E56" t="s" s="16">
        <v>233</v>
      </c>
      <c r="F56" s="19"/>
      <c r="G56" s="19"/>
      <c r="H56" s="19"/>
      <c r="I56" t="b" s="84">
        <v>1</v>
      </c>
      <c r="J56" t="b" s="84">
        <v>0</v>
      </c>
      <c r="K56" t="b" s="84">
        <v>0</v>
      </c>
      <c r="L56" t="b" s="84">
        <v>0</v>
      </c>
      <c r="M56" t="b" s="84">
        <v>0</v>
      </c>
      <c r="N56" t="b" s="84">
        <v>1</v>
      </c>
      <c r="O56" t="b" s="84">
        <v>1</v>
      </c>
      <c r="P56" t="b" s="84">
        <v>1</v>
      </c>
      <c r="Q56" t="b" s="84">
        <v>1</v>
      </c>
      <c r="R56" t="b" s="84">
        <v>1</v>
      </c>
      <c r="S56" t="b" s="84">
        <v>1</v>
      </c>
      <c r="T56" t="b" s="84">
        <v>0</v>
      </c>
      <c r="U56" t="b" s="84">
        <v>0</v>
      </c>
      <c r="V56" t="b" s="84">
        <v>0</v>
      </c>
      <c r="W56" t="s" s="16">
        <v>403</v>
      </c>
    </row>
    <row r="57" ht="32.05" customHeight="1">
      <c r="A57" t="s" s="69">
        <v>14</v>
      </c>
      <c r="B57" t="s" s="69">
        <v>404</v>
      </c>
      <c r="C57" t="s" s="14">
        <v>405</v>
      </c>
      <c r="D57" t="s" s="83">
        <v>353</v>
      </c>
      <c r="E57" t="s" s="16">
        <v>233</v>
      </c>
      <c r="F57" s="19"/>
      <c r="G57" s="19"/>
      <c r="H57" s="19"/>
      <c r="I57" t="b" s="84">
        <v>1</v>
      </c>
      <c r="J57" t="b" s="84">
        <v>0</v>
      </c>
      <c r="K57" t="b" s="84">
        <v>1</v>
      </c>
      <c r="L57" t="b" s="84">
        <v>1</v>
      </c>
      <c r="M57" t="b" s="84">
        <v>1</v>
      </c>
      <c r="N57" t="b" s="84">
        <v>1</v>
      </c>
      <c r="O57" t="b" s="84">
        <v>1</v>
      </c>
      <c r="P57" t="b" s="84">
        <v>1</v>
      </c>
      <c r="Q57" t="b" s="84">
        <v>1</v>
      </c>
      <c r="R57" t="b" s="84">
        <v>0</v>
      </c>
      <c r="S57" t="b" s="84">
        <v>1</v>
      </c>
      <c r="T57" t="b" s="84">
        <v>1</v>
      </c>
      <c r="U57" t="b" s="84">
        <v>0</v>
      </c>
      <c r="V57" t="b" s="84">
        <v>0</v>
      </c>
      <c r="W57" t="s" s="16">
        <v>406</v>
      </c>
    </row>
    <row r="58" ht="20.05" customHeight="1">
      <c r="A58" t="s" s="69">
        <v>14</v>
      </c>
      <c r="B58" t="s" s="69">
        <v>404</v>
      </c>
      <c r="C58" t="s" s="14">
        <v>407</v>
      </c>
      <c r="D58" t="s" s="83">
        <v>353</v>
      </c>
      <c r="E58" t="s" s="16">
        <v>233</v>
      </c>
      <c r="F58" s="19"/>
      <c r="G58" s="19"/>
      <c r="H58" s="19"/>
      <c r="I58" t="b" s="84">
        <v>1</v>
      </c>
      <c r="J58" t="b" s="84">
        <v>0</v>
      </c>
      <c r="K58" t="b" s="84">
        <v>1</v>
      </c>
      <c r="L58" t="b" s="84">
        <v>1</v>
      </c>
      <c r="M58" t="b" s="84">
        <v>1</v>
      </c>
      <c r="N58" t="b" s="84">
        <v>1</v>
      </c>
      <c r="O58" t="b" s="84">
        <v>1</v>
      </c>
      <c r="P58" t="b" s="84">
        <v>1</v>
      </c>
      <c r="Q58" t="b" s="84">
        <v>1</v>
      </c>
      <c r="R58" t="b" s="84">
        <v>1</v>
      </c>
      <c r="S58" t="b" s="84">
        <v>1</v>
      </c>
      <c r="T58" t="b" s="84">
        <v>1</v>
      </c>
      <c r="U58" t="b" s="84">
        <v>0</v>
      </c>
      <c r="V58" t="b" s="84">
        <v>0</v>
      </c>
      <c r="W58" t="s" s="16">
        <v>408</v>
      </c>
    </row>
    <row r="59" ht="44.05" customHeight="1">
      <c r="A59" t="s" s="69">
        <v>14</v>
      </c>
      <c r="B59" t="s" s="69">
        <v>409</v>
      </c>
      <c r="C59" t="s" s="14">
        <v>410</v>
      </c>
      <c r="D59" t="s" s="83">
        <v>353</v>
      </c>
      <c r="E59" t="s" s="16">
        <v>233</v>
      </c>
      <c r="F59" t="s" s="16">
        <v>411</v>
      </c>
      <c r="G59" s="19"/>
      <c r="H59" s="19"/>
      <c r="I59" t="b" s="84">
        <v>1</v>
      </c>
      <c r="J59" t="b" s="84">
        <v>1</v>
      </c>
      <c r="K59" t="b" s="84">
        <v>1</v>
      </c>
      <c r="L59" t="b" s="84">
        <v>1</v>
      </c>
      <c r="M59" t="b" s="84">
        <v>1</v>
      </c>
      <c r="N59" t="b" s="84">
        <v>1</v>
      </c>
      <c r="O59" t="b" s="84">
        <v>1</v>
      </c>
      <c r="P59" t="b" s="84">
        <v>1</v>
      </c>
      <c r="Q59" t="b" s="84">
        <v>1</v>
      </c>
      <c r="R59" t="b" s="84">
        <v>1</v>
      </c>
      <c r="S59" t="b" s="84">
        <v>1</v>
      </c>
      <c r="T59" t="b" s="84">
        <v>0</v>
      </c>
      <c r="U59" t="b" s="84">
        <v>0</v>
      </c>
      <c r="V59" t="b" s="84">
        <v>1</v>
      </c>
      <c r="W59" t="s" s="16">
        <v>412</v>
      </c>
    </row>
    <row r="60" ht="32.05" customHeight="1">
      <c r="A60" t="s" s="69">
        <v>374</v>
      </c>
      <c r="B60" t="s" s="69">
        <v>409</v>
      </c>
      <c r="C60" t="s" s="14">
        <v>413</v>
      </c>
      <c r="D60" t="s" s="83">
        <v>353</v>
      </c>
      <c r="E60" t="s" s="16">
        <v>233</v>
      </c>
      <c r="F60" s="19"/>
      <c r="G60" s="19"/>
      <c r="H60" s="19"/>
      <c r="I60" t="b" s="84">
        <v>1</v>
      </c>
      <c r="J60" t="b" s="84">
        <v>0</v>
      </c>
      <c r="K60" t="b" s="84">
        <v>0</v>
      </c>
      <c r="L60" t="b" s="84">
        <v>1</v>
      </c>
      <c r="M60" t="b" s="84">
        <v>1</v>
      </c>
      <c r="N60" t="b" s="84">
        <v>1</v>
      </c>
      <c r="O60" t="b" s="84">
        <v>1</v>
      </c>
      <c r="P60" t="b" s="84">
        <v>1</v>
      </c>
      <c r="Q60" t="b" s="84">
        <v>1</v>
      </c>
      <c r="R60" t="b" s="84">
        <v>1</v>
      </c>
      <c r="S60" t="b" s="84">
        <v>1</v>
      </c>
      <c r="T60" t="b" s="84">
        <v>0</v>
      </c>
      <c r="U60" t="b" s="84">
        <v>0</v>
      </c>
      <c r="V60" t="b" s="84">
        <v>0</v>
      </c>
      <c r="W60" t="s" s="16">
        <v>412</v>
      </c>
    </row>
    <row r="61" ht="32.05" customHeight="1">
      <c r="A61" t="s" s="69">
        <v>374</v>
      </c>
      <c r="B61" t="s" s="69">
        <v>409</v>
      </c>
      <c r="C61" t="s" s="14">
        <v>414</v>
      </c>
      <c r="D61" t="s" s="83">
        <v>353</v>
      </c>
      <c r="E61" t="s" s="16">
        <v>233</v>
      </c>
      <c r="F61" s="19"/>
      <c r="G61" s="19"/>
      <c r="H61" s="19"/>
      <c r="I61" t="b" s="84">
        <v>1</v>
      </c>
      <c r="J61" t="b" s="84">
        <v>0</v>
      </c>
      <c r="K61" t="b" s="84">
        <v>0</v>
      </c>
      <c r="L61" t="b" s="84">
        <v>1</v>
      </c>
      <c r="M61" t="b" s="84">
        <v>1</v>
      </c>
      <c r="N61" t="b" s="84">
        <v>1</v>
      </c>
      <c r="O61" t="b" s="84">
        <v>1</v>
      </c>
      <c r="P61" t="b" s="84">
        <v>1</v>
      </c>
      <c r="Q61" t="b" s="84">
        <v>1</v>
      </c>
      <c r="R61" t="b" s="84">
        <v>1</v>
      </c>
      <c r="S61" t="b" s="84">
        <v>1</v>
      </c>
      <c r="T61" t="b" s="84">
        <v>0</v>
      </c>
      <c r="U61" t="b" s="84">
        <v>0</v>
      </c>
      <c r="V61" t="b" s="84">
        <v>0</v>
      </c>
      <c r="W61" t="s" s="16">
        <v>412</v>
      </c>
    </row>
    <row r="62" ht="32.05" customHeight="1">
      <c r="A62" t="s" s="69">
        <v>374</v>
      </c>
      <c r="B62" t="s" s="69">
        <v>409</v>
      </c>
      <c r="C62" t="s" s="14">
        <v>415</v>
      </c>
      <c r="D62" t="s" s="83">
        <v>353</v>
      </c>
      <c r="E62" t="s" s="16">
        <v>233</v>
      </c>
      <c r="F62" s="19"/>
      <c r="G62" s="19"/>
      <c r="H62" s="19"/>
      <c r="I62" t="b" s="84">
        <v>1</v>
      </c>
      <c r="J62" t="b" s="84">
        <v>0</v>
      </c>
      <c r="K62" t="b" s="84">
        <v>0</v>
      </c>
      <c r="L62" t="b" s="84">
        <v>1</v>
      </c>
      <c r="M62" t="b" s="84">
        <v>1</v>
      </c>
      <c r="N62" t="b" s="84">
        <v>1</v>
      </c>
      <c r="O62" t="b" s="84">
        <v>1</v>
      </c>
      <c r="P62" t="b" s="84">
        <v>1</v>
      </c>
      <c r="Q62" t="b" s="84">
        <v>1</v>
      </c>
      <c r="R62" t="b" s="84">
        <v>1</v>
      </c>
      <c r="S62" t="b" s="84">
        <v>1</v>
      </c>
      <c r="T62" t="b" s="84">
        <v>0</v>
      </c>
      <c r="U62" t="b" s="84">
        <v>0</v>
      </c>
      <c r="V62" t="b" s="84">
        <v>0</v>
      </c>
      <c r="W62" t="s" s="16">
        <v>412</v>
      </c>
    </row>
    <row r="63" ht="32.05" customHeight="1">
      <c r="A63" t="s" s="69">
        <v>14</v>
      </c>
      <c r="B63" t="s" s="69">
        <v>409</v>
      </c>
      <c r="C63" t="s" s="14">
        <v>416</v>
      </c>
      <c r="D63" t="s" s="83">
        <v>353</v>
      </c>
      <c r="E63" t="s" s="16">
        <v>233</v>
      </c>
      <c r="F63" s="19"/>
      <c r="G63" s="19"/>
      <c r="H63" s="19"/>
      <c r="I63" t="b" s="84">
        <v>1</v>
      </c>
      <c r="J63" t="b" s="84">
        <v>0</v>
      </c>
      <c r="K63" t="b" s="84">
        <v>1</v>
      </c>
      <c r="L63" t="b" s="84">
        <v>1</v>
      </c>
      <c r="M63" t="b" s="84">
        <v>1</v>
      </c>
      <c r="N63" t="b" s="84">
        <v>1</v>
      </c>
      <c r="O63" t="b" s="84">
        <v>1</v>
      </c>
      <c r="P63" t="b" s="84">
        <v>1</v>
      </c>
      <c r="Q63" t="b" s="84">
        <v>1</v>
      </c>
      <c r="R63" t="b" s="84">
        <v>1</v>
      </c>
      <c r="S63" t="b" s="84">
        <v>1</v>
      </c>
      <c r="T63" t="b" s="84">
        <v>0</v>
      </c>
      <c r="U63" t="b" s="84">
        <v>0</v>
      </c>
      <c r="V63" t="b" s="84">
        <v>0</v>
      </c>
      <c r="W63" t="s" s="16">
        <v>417</v>
      </c>
    </row>
    <row r="64" ht="32.05" customHeight="1">
      <c r="A64" t="s" s="69">
        <v>14</v>
      </c>
      <c r="B64" t="s" s="69">
        <v>409</v>
      </c>
      <c r="C64" t="s" s="14">
        <v>418</v>
      </c>
      <c r="D64" t="s" s="83">
        <v>353</v>
      </c>
      <c r="E64" t="s" s="16">
        <v>233</v>
      </c>
      <c r="F64" s="19"/>
      <c r="G64" s="19"/>
      <c r="H64" s="19"/>
      <c r="I64" t="b" s="84">
        <v>1</v>
      </c>
      <c r="J64" t="b" s="84">
        <v>0</v>
      </c>
      <c r="K64" t="b" s="84">
        <v>1</v>
      </c>
      <c r="L64" t="b" s="84">
        <v>1</v>
      </c>
      <c r="M64" t="b" s="84">
        <v>1</v>
      </c>
      <c r="N64" t="b" s="84">
        <v>1</v>
      </c>
      <c r="O64" t="b" s="84">
        <v>1</v>
      </c>
      <c r="P64" t="b" s="84">
        <v>1</v>
      </c>
      <c r="Q64" t="b" s="84">
        <v>1</v>
      </c>
      <c r="R64" t="b" s="84">
        <v>1</v>
      </c>
      <c r="S64" t="b" s="84">
        <v>1</v>
      </c>
      <c r="T64" t="b" s="84">
        <v>0</v>
      </c>
      <c r="U64" t="b" s="84">
        <v>0</v>
      </c>
      <c r="V64" t="b" s="84">
        <v>0</v>
      </c>
      <c r="W64" t="s" s="16">
        <v>417</v>
      </c>
    </row>
    <row r="65" ht="20.05" customHeight="1">
      <c r="A65" t="s" s="69">
        <v>14</v>
      </c>
      <c r="B65" s="71"/>
      <c r="C65" t="s" s="14">
        <v>333</v>
      </c>
      <c r="D65" t="s" s="83">
        <v>353</v>
      </c>
      <c r="E65" t="s" s="16">
        <v>233</v>
      </c>
      <c r="F65" s="19"/>
      <c r="G65" s="19"/>
      <c r="H65" s="19"/>
      <c r="I65" t="b" s="84">
        <v>1</v>
      </c>
      <c r="J65" t="b" s="84">
        <v>0</v>
      </c>
      <c r="K65" t="b" s="84">
        <v>1</v>
      </c>
      <c r="L65" t="b" s="84">
        <v>1</v>
      </c>
      <c r="M65" t="b" s="84">
        <v>1</v>
      </c>
      <c r="N65" t="b" s="84">
        <v>1</v>
      </c>
      <c r="O65" t="b" s="84">
        <v>1</v>
      </c>
      <c r="P65" t="b" s="84">
        <v>1</v>
      </c>
      <c r="Q65" t="b" s="84">
        <v>1</v>
      </c>
      <c r="R65" t="b" s="84">
        <v>1</v>
      </c>
      <c r="S65" t="b" s="84">
        <v>1</v>
      </c>
      <c r="T65" t="b" s="84">
        <v>0</v>
      </c>
      <c r="U65" t="b" s="84">
        <v>0</v>
      </c>
      <c r="V65" t="b" s="84">
        <v>0</v>
      </c>
      <c r="W65" t="s" s="16">
        <v>419</v>
      </c>
    </row>
    <row r="66" ht="32.05" customHeight="1">
      <c r="A66" t="s" s="69">
        <v>14</v>
      </c>
      <c r="B66" t="s" s="69">
        <v>409</v>
      </c>
      <c r="C66" t="s" s="14">
        <v>420</v>
      </c>
      <c r="D66" t="s" s="83">
        <v>353</v>
      </c>
      <c r="E66" t="s" s="16">
        <v>233</v>
      </c>
      <c r="F66" s="19"/>
      <c r="G66" s="19"/>
      <c r="H66" s="19"/>
      <c r="I66" t="b" s="84">
        <v>1</v>
      </c>
      <c r="J66" t="b" s="84">
        <v>0</v>
      </c>
      <c r="K66" t="b" s="84">
        <v>1</v>
      </c>
      <c r="L66" t="b" s="84">
        <v>1</v>
      </c>
      <c r="M66" t="b" s="84">
        <v>1</v>
      </c>
      <c r="N66" t="b" s="84">
        <v>1</v>
      </c>
      <c r="O66" t="b" s="84">
        <v>1</v>
      </c>
      <c r="P66" t="b" s="84">
        <v>1</v>
      </c>
      <c r="Q66" t="b" s="84">
        <v>1</v>
      </c>
      <c r="R66" t="b" s="84">
        <v>0</v>
      </c>
      <c r="S66" t="b" s="84">
        <v>1</v>
      </c>
      <c r="T66" t="b" s="84">
        <v>1</v>
      </c>
      <c r="U66" t="b" s="84">
        <v>0</v>
      </c>
      <c r="V66" t="b" s="84">
        <v>0</v>
      </c>
      <c r="W66" t="s" s="16">
        <v>421</v>
      </c>
    </row>
    <row r="67" ht="44.05" customHeight="1">
      <c r="A67" t="s" s="69">
        <v>14</v>
      </c>
      <c r="B67" t="s" s="69">
        <v>362</v>
      </c>
      <c r="C67" t="s" s="14">
        <v>422</v>
      </c>
      <c r="D67" t="s" s="83">
        <v>353</v>
      </c>
      <c r="E67" t="s" s="16">
        <v>233</v>
      </c>
      <c r="F67" s="19"/>
      <c r="G67" s="19"/>
      <c r="H67" s="19"/>
      <c r="I67" t="b" s="84">
        <v>1</v>
      </c>
      <c r="J67" t="b" s="84">
        <v>1</v>
      </c>
      <c r="K67" t="b" s="84">
        <v>0</v>
      </c>
      <c r="L67" t="b" s="84">
        <v>0</v>
      </c>
      <c r="M67" t="b" s="84">
        <v>0</v>
      </c>
      <c r="N67" t="b" s="84">
        <v>0</v>
      </c>
      <c r="O67" t="b" s="84">
        <v>0</v>
      </c>
      <c r="P67" t="b" s="84">
        <v>0</v>
      </c>
      <c r="Q67" t="b" s="84">
        <v>0</v>
      </c>
      <c r="R67" t="b" s="84">
        <v>0</v>
      </c>
      <c r="S67" t="b" s="84">
        <v>0</v>
      </c>
      <c r="T67" t="b" s="84">
        <v>0</v>
      </c>
      <c r="U67" t="b" s="84">
        <v>0</v>
      </c>
      <c r="V67" t="b" s="84">
        <v>0</v>
      </c>
      <c r="W67" t="s" s="16">
        <v>423</v>
      </c>
    </row>
    <row r="68" ht="20.05" customHeight="1">
      <c r="A68" t="s" s="69">
        <v>14</v>
      </c>
      <c r="B68" t="s" s="69">
        <v>362</v>
      </c>
      <c r="C68" t="s" s="14">
        <v>424</v>
      </c>
      <c r="D68" t="s" s="83">
        <v>353</v>
      </c>
      <c r="E68" t="s" s="16">
        <v>233</v>
      </c>
      <c r="F68" s="19"/>
      <c r="G68" s="19"/>
      <c r="H68" s="19"/>
      <c r="I68" t="b" s="84">
        <v>1</v>
      </c>
      <c r="J68" t="b" s="84">
        <v>0</v>
      </c>
      <c r="K68" t="b" s="84">
        <v>0</v>
      </c>
      <c r="L68" t="b" s="84">
        <v>0</v>
      </c>
      <c r="M68" t="b" s="84">
        <v>0</v>
      </c>
      <c r="N68" t="b" s="84">
        <v>0</v>
      </c>
      <c r="O68" t="b" s="84">
        <v>0</v>
      </c>
      <c r="P68" t="b" s="84">
        <v>0</v>
      </c>
      <c r="Q68" t="b" s="84">
        <v>0</v>
      </c>
      <c r="R68" t="b" s="84">
        <v>0</v>
      </c>
      <c r="S68" t="b" s="84">
        <v>0</v>
      </c>
      <c r="T68" t="b" s="84">
        <v>0</v>
      </c>
      <c r="U68" t="b" s="84">
        <v>0</v>
      </c>
      <c r="V68" t="b" s="84">
        <v>0</v>
      </c>
      <c r="W68" t="s" s="16">
        <v>425</v>
      </c>
    </row>
    <row r="69" ht="44.05" customHeight="1">
      <c r="A69" t="s" s="69">
        <v>374</v>
      </c>
      <c r="B69" t="s" s="69">
        <v>362</v>
      </c>
      <c r="C69" t="s" s="14">
        <v>426</v>
      </c>
      <c r="D69" t="s" s="83">
        <v>353</v>
      </c>
      <c r="E69" t="s" s="16">
        <v>233</v>
      </c>
      <c r="F69" s="19"/>
      <c r="G69" s="19"/>
      <c r="H69" s="19"/>
      <c r="I69" t="b" s="84">
        <v>1</v>
      </c>
      <c r="J69" t="b" s="84">
        <v>0</v>
      </c>
      <c r="K69" t="b" s="84">
        <v>0</v>
      </c>
      <c r="L69" t="b" s="84">
        <v>0</v>
      </c>
      <c r="M69" t="b" s="84">
        <v>0</v>
      </c>
      <c r="N69" t="b" s="84">
        <v>0</v>
      </c>
      <c r="O69" t="b" s="84">
        <v>0</v>
      </c>
      <c r="P69" t="b" s="84">
        <v>0</v>
      </c>
      <c r="Q69" t="b" s="84">
        <v>0</v>
      </c>
      <c r="R69" t="b" s="84">
        <v>0</v>
      </c>
      <c r="S69" t="b" s="84">
        <v>0</v>
      </c>
      <c r="T69" t="b" s="84">
        <v>0</v>
      </c>
      <c r="U69" t="b" s="84">
        <v>0</v>
      </c>
      <c r="V69" t="b" s="84">
        <v>0</v>
      </c>
      <c r="W69" t="s" s="16">
        <v>427</v>
      </c>
    </row>
    <row r="70" ht="44.05" customHeight="1">
      <c r="A70" t="s" s="69">
        <v>374</v>
      </c>
      <c r="B70" t="s" s="69">
        <v>362</v>
      </c>
      <c r="C70" t="s" s="14">
        <v>428</v>
      </c>
      <c r="D70" t="s" s="83">
        <v>353</v>
      </c>
      <c r="E70" t="s" s="16">
        <v>233</v>
      </c>
      <c r="F70" s="19"/>
      <c r="G70" s="19"/>
      <c r="H70" s="19"/>
      <c r="I70" t="b" s="84">
        <v>1</v>
      </c>
      <c r="J70" t="b" s="84">
        <v>0</v>
      </c>
      <c r="K70" t="b" s="84">
        <v>0</v>
      </c>
      <c r="L70" t="b" s="84">
        <v>0</v>
      </c>
      <c r="M70" t="b" s="84">
        <v>0</v>
      </c>
      <c r="N70" t="b" s="84">
        <v>0</v>
      </c>
      <c r="O70" t="b" s="84">
        <v>0</v>
      </c>
      <c r="P70" t="b" s="84">
        <v>0</v>
      </c>
      <c r="Q70" t="b" s="84">
        <v>0</v>
      </c>
      <c r="R70" t="b" s="84">
        <v>0</v>
      </c>
      <c r="S70" t="b" s="84">
        <v>0</v>
      </c>
      <c r="T70" t="b" s="84">
        <v>0</v>
      </c>
      <c r="U70" t="b" s="84">
        <v>0</v>
      </c>
      <c r="V70" t="b" s="84">
        <v>0</v>
      </c>
      <c r="W70" t="s" s="16">
        <v>427</v>
      </c>
    </row>
    <row r="71" ht="32.05" customHeight="1">
      <c r="A71" t="s" s="69">
        <v>374</v>
      </c>
      <c r="B71" t="s" s="69">
        <v>429</v>
      </c>
      <c r="C71" t="s" s="14">
        <v>430</v>
      </c>
      <c r="D71" t="s" s="83">
        <v>353</v>
      </c>
      <c r="E71" t="s" s="16">
        <v>233</v>
      </c>
      <c r="F71" s="19"/>
      <c r="G71" s="19"/>
      <c r="H71" s="19"/>
      <c r="I71" t="b" s="84">
        <v>1</v>
      </c>
      <c r="J71" t="b" s="84">
        <v>1</v>
      </c>
      <c r="K71" t="b" s="84">
        <v>0</v>
      </c>
      <c r="L71" t="b" s="84">
        <v>1</v>
      </c>
      <c r="M71" t="b" s="84">
        <v>1</v>
      </c>
      <c r="N71" t="b" s="84">
        <v>1</v>
      </c>
      <c r="O71" t="b" s="84">
        <v>1</v>
      </c>
      <c r="P71" t="b" s="84">
        <v>1</v>
      </c>
      <c r="Q71" t="b" s="84">
        <v>1</v>
      </c>
      <c r="R71" t="b" s="84">
        <v>0</v>
      </c>
      <c r="S71" t="b" s="84">
        <v>1</v>
      </c>
      <c r="T71" t="b" s="84">
        <v>1</v>
      </c>
      <c r="U71" t="b" s="84">
        <v>0</v>
      </c>
      <c r="V71" t="b" s="84">
        <v>0</v>
      </c>
      <c r="W71" t="s" s="16">
        <v>431</v>
      </c>
    </row>
    <row r="72" ht="20.05" customHeight="1">
      <c r="A72" t="s" s="69">
        <v>374</v>
      </c>
      <c r="B72" t="s" s="69">
        <v>429</v>
      </c>
      <c r="C72" t="s" s="14">
        <v>432</v>
      </c>
      <c r="D72" t="s" s="83">
        <v>353</v>
      </c>
      <c r="E72" t="s" s="16">
        <v>233</v>
      </c>
      <c r="F72" s="19"/>
      <c r="G72" s="19"/>
      <c r="H72" s="19"/>
      <c r="I72" t="b" s="84">
        <v>1</v>
      </c>
      <c r="J72" t="b" s="84">
        <v>0</v>
      </c>
      <c r="K72" t="b" s="84">
        <v>0</v>
      </c>
      <c r="L72" t="b" s="84">
        <v>0</v>
      </c>
      <c r="M72" t="b" s="84">
        <v>0</v>
      </c>
      <c r="N72" t="b" s="84">
        <v>0</v>
      </c>
      <c r="O72" t="b" s="84">
        <v>0</v>
      </c>
      <c r="P72" t="b" s="84">
        <v>0</v>
      </c>
      <c r="Q72" t="b" s="84">
        <v>0</v>
      </c>
      <c r="R72" t="b" s="84">
        <v>0</v>
      </c>
      <c r="S72" t="b" s="84">
        <v>0</v>
      </c>
      <c r="T72" t="b" s="84">
        <v>0</v>
      </c>
      <c r="U72" t="b" s="84">
        <v>0</v>
      </c>
      <c r="V72" t="b" s="84">
        <v>0</v>
      </c>
      <c r="W72" t="s" s="16">
        <v>433</v>
      </c>
    </row>
    <row r="73" ht="20.05" customHeight="1">
      <c r="A73" t="s" s="69">
        <v>374</v>
      </c>
      <c r="B73" t="s" s="69">
        <v>429</v>
      </c>
      <c r="C73" t="s" s="14">
        <v>434</v>
      </c>
      <c r="D73" t="s" s="83">
        <v>353</v>
      </c>
      <c r="E73" t="s" s="16">
        <v>233</v>
      </c>
      <c r="F73" s="19"/>
      <c r="G73" s="19"/>
      <c r="H73" s="19"/>
      <c r="I73" t="b" s="84">
        <v>1</v>
      </c>
      <c r="J73" t="b" s="84">
        <v>0</v>
      </c>
      <c r="K73" t="b" s="84">
        <v>0</v>
      </c>
      <c r="L73" t="b" s="84">
        <v>0</v>
      </c>
      <c r="M73" t="b" s="84">
        <v>0</v>
      </c>
      <c r="N73" t="b" s="84">
        <v>0</v>
      </c>
      <c r="O73" t="b" s="84">
        <v>0</v>
      </c>
      <c r="P73" t="b" s="84">
        <v>0</v>
      </c>
      <c r="Q73" t="b" s="84">
        <v>0</v>
      </c>
      <c r="R73" t="b" s="84">
        <v>0</v>
      </c>
      <c r="S73" t="b" s="84">
        <v>0</v>
      </c>
      <c r="T73" t="b" s="84">
        <v>0</v>
      </c>
      <c r="U73" t="b" s="84">
        <v>0</v>
      </c>
      <c r="V73" t="b" s="84">
        <v>0</v>
      </c>
      <c r="W73" t="s" s="16">
        <v>433</v>
      </c>
    </row>
    <row r="74" ht="20.05" customHeight="1">
      <c r="A74" t="s" s="69">
        <v>374</v>
      </c>
      <c r="B74" t="s" s="69">
        <v>429</v>
      </c>
      <c r="C74" t="s" s="14">
        <v>435</v>
      </c>
      <c r="D74" t="s" s="83">
        <v>353</v>
      </c>
      <c r="E74" t="s" s="16">
        <v>233</v>
      </c>
      <c r="F74" s="19"/>
      <c r="G74" s="19"/>
      <c r="H74" s="19"/>
      <c r="I74" t="b" s="84">
        <v>1</v>
      </c>
      <c r="J74" t="b" s="84">
        <v>0</v>
      </c>
      <c r="K74" t="b" s="84">
        <v>0</v>
      </c>
      <c r="L74" t="b" s="84">
        <v>0</v>
      </c>
      <c r="M74" t="b" s="84">
        <v>0</v>
      </c>
      <c r="N74" t="b" s="84">
        <v>0</v>
      </c>
      <c r="O74" t="b" s="84">
        <v>0</v>
      </c>
      <c r="P74" t="b" s="84">
        <v>0</v>
      </c>
      <c r="Q74" t="b" s="84">
        <v>0</v>
      </c>
      <c r="R74" t="b" s="84">
        <v>0</v>
      </c>
      <c r="S74" t="b" s="84">
        <v>0</v>
      </c>
      <c r="T74" t="b" s="84">
        <v>0</v>
      </c>
      <c r="U74" t="b" s="84">
        <v>0</v>
      </c>
      <c r="V74" t="b" s="84">
        <v>0</v>
      </c>
      <c r="W74" t="s" s="16">
        <v>436</v>
      </c>
    </row>
    <row r="75" ht="20.05" customHeight="1">
      <c r="A75" t="s" s="69">
        <v>14</v>
      </c>
      <c r="B75" t="s" s="69">
        <v>437</v>
      </c>
      <c r="C75" t="s" s="14">
        <v>438</v>
      </c>
      <c r="D75" t="s" s="83">
        <v>439</v>
      </c>
      <c r="E75" t="s" s="16">
        <v>233</v>
      </c>
      <c r="F75" s="19"/>
      <c r="G75" s="19"/>
      <c r="H75" s="19"/>
      <c r="I75" t="b" s="84">
        <v>1</v>
      </c>
      <c r="J75" t="b" s="84">
        <v>1</v>
      </c>
      <c r="K75" t="b" s="84">
        <v>1</v>
      </c>
      <c r="L75" t="b" s="84">
        <v>1</v>
      </c>
      <c r="M75" t="b" s="84">
        <v>1</v>
      </c>
      <c r="N75" t="b" s="84">
        <v>1</v>
      </c>
      <c r="O75" t="b" s="84">
        <v>1</v>
      </c>
      <c r="P75" t="b" s="84">
        <v>1</v>
      </c>
      <c r="Q75" t="b" s="84">
        <v>1</v>
      </c>
      <c r="R75" t="b" s="84">
        <v>1</v>
      </c>
      <c r="S75" t="b" s="84">
        <v>1</v>
      </c>
      <c r="T75" t="b" s="84">
        <v>1</v>
      </c>
      <c r="U75" t="b" s="84">
        <v>0</v>
      </c>
      <c r="V75" t="b" s="84">
        <v>1</v>
      </c>
      <c r="W75" t="s" s="16">
        <v>440</v>
      </c>
    </row>
    <row r="76" ht="20.05" customHeight="1">
      <c r="A76" t="s" s="69">
        <v>14</v>
      </c>
      <c r="B76" t="s" s="69">
        <v>441</v>
      </c>
      <c r="C76" t="s" s="14">
        <v>442</v>
      </c>
      <c r="D76" t="s" s="83">
        <v>439</v>
      </c>
      <c r="E76" t="s" s="16">
        <v>233</v>
      </c>
      <c r="F76" s="19"/>
      <c r="G76" s="19"/>
      <c r="H76" s="19"/>
      <c r="I76" t="b" s="84">
        <v>1</v>
      </c>
      <c r="J76" t="b" s="84">
        <v>1</v>
      </c>
      <c r="K76" t="b" s="84">
        <v>1</v>
      </c>
      <c r="L76" t="b" s="84">
        <v>1</v>
      </c>
      <c r="M76" t="b" s="84">
        <v>1</v>
      </c>
      <c r="N76" t="b" s="84">
        <v>1</v>
      </c>
      <c r="O76" t="b" s="84">
        <v>1</v>
      </c>
      <c r="P76" t="b" s="84">
        <v>1</v>
      </c>
      <c r="Q76" t="b" s="84">
        <v>1</v>
      </c>
      <c r="R76" t="b" s="84">
        <v>1</v>
      </c>
      <c r="S76" t="b" s="84">
        <v>1</v>
      </c>
      <c r="T76" t="b" s="84">
        <v>1</v>
      </c>
      <c r="U76" t="b" s="84">
        <v>0</v>
      </c>
      <c r="V76" t="b" s="84">
        <v>1</v>
      </c>
      <c r="W76" t="s" s="16">
        <v>440</v>
      </c>
    </row>
    <row r="77" ht="32.05" customHeight="1">
      <c r="A77" t="s" s="69">
        <v>14</v>
      </c>
      <c r="B77" t="s" s="69">
        <v>443</v>
      </c>
      <c r="C77" t="s" s="14">
        <v>444</v>
      </c>
      <c r="D77" t="s" s="83">
        <v>439</v>
      </c>
      <c r="E77" t="s" s="16">
        <v>233</v>
      </c>
      <c r="F77" s="19"/>
      <c r="G77" s="19"/>
      <c r="H77" s="19"/>
      <c r="I77" t="b" s="84">
        <v>1</v>
      </c>
      <c r="J77" t="b" s="84">
        <v>0</v>
      </c>
      <c r="K77" t="b" s="84">
        <v>1</v>
      </c>
      <c r="L77" t="b" s="84">
        <v>1</v>
      </c>
      <c r="M77" t="b" s="84">
        <v>1</v>
      </c>
      <c r="N77" t="b" s="84">
        <v>1</v>
      </c>
      <c r="O77" t="b" s="84">
        <v>1</v>
      </c>
      <c r="P77" t="b" s="84">
        <v>1</v>
      </c>
      <c r="Q77" t="b" s="84">
        <v>1</v>
      </c>
      <c r="R77" t="b" s="84">
        <v>1</v>
      </c>
      <c r="S77" t="b" s="84">
        <v>1</v>
      </c>
      <c r="T77" t="b" s="84">
        <v>1</v>
      </c>
      <c r="U77" t="b" s="84">
        <v>1</v>
      </c>
      <c r="V77" t="b" s="84">
        <v>0</v>
      </c>
      <c r="W77" t="s" s="16">
        <v>445</v>
      </c>
    </row>
    <row r="78" ht="20.05" customHeight="1">
      <c r="A78" t="s" s="69">
        <v>374</v>
      </c>
      <c r="B78" t="s" s="69">
        <v>446</v>
      </c>
      <c r="C78" t="s" s="14">
        <v>447</v>
      </c>
      <c r="D78" t="s" s="83">
        <v>439</v>
      </c>
      <c r="E78" t="s" s="16">
        <v>233</v>
      </c>
      <c r="F78" s="19"/>
      <c r="G78" s="19"/>
      <c r="H78" s="19"/>
      <c r="I78" t="b" s="84">
        <v>1</v>
      </c>
      <c r="J78" t="b" s="84">
        <v>0</v>
      </c>
      <c r="K78" t="b" s="84">
        <v>0</v>
      </c>
      <c r="L78" t="b" s="84">
        <v>0</v>
      </c>
      <c r="M78" t="b" s="84">
        <v>0</v>
      </c>
      <c r="N78" t="b" s="84">
        <v>1</v>
      </c>
      <c r="O78" t="b" s="84">
        <v>1</v>
      </c>
      <c r="P78" t="b" s="84">
        <v>1</v>
      </c>
      <c r="Q78" t="b" s="84">
        <v>1</v>
      </c>
      <c r="R78" t="b" s="84">
        <v>1</v>
      </c>
      <c r="S78" t="b" s="84">
        <v>1</v>
      </c>
      <c r="T78" t="b" s="84">
        <v>0</v>
      </c>
      <c r="U78" t="b" s="84">
        <v>0</v>
      </c>
      <c r="V78" t="b" s="84">
        <v>0</v>
      </c>
      <c r="W78" t="s" s="16">
        <v>440</v>
      </c>
    </row>
    <row r="79" ht="20.05" customHeight="1">
      <c r="A79" t="s" s="69">
        <v>374</v>
      </c>
      <c r="B79" s="71"/>
      <c r="C79" t="s" s="14">
        <v>231</v>
      </c>
      <c r="D79" t="s" s="83">
        <v>439</v>
      </c>
      <c r="E79" t="s" s="16">
        <v>233</v>
      </c>
      <c r="F79" s="19"/>
      <c r="G79" s="19"/>
      <c r="H79" s="19"/>
      <c r="I79" t="b" s="84">
        <v>1</v>
      </c>
      <c r="J79" t="b" s="84">
        <v>0</v>
      </c>
      <c r="K79" t="b" s="84">
        <v>0</v>
      </c>
      <c r="L79" t="b" s="84">
        <v>0</v>
      </c>
      <c r="M79" t="b" s="84">
        <v>0</v>
      </c>
      <c r="N79" t="b" s="84">
        <v>1</v>
      </c>
      <c r="O79" t="b" s="84">
        <v>1</v>
      </c>
      <c r="P79" t="b" s="84">
        <v>1</v>
      </c>
      <c r="Q79" t="b" s="84">
        <v>1</v>
      </c>
      <c r="R79" t="b" s="84">
        <v>1</v>
      </c>
      <c r="S79" t="b" s="84">
        <v>1</v>
      </c>
      <c r="T79" t="b" s="84">
        <v>0</v>
      </c>
      <c r="U79" t="b" s="84">
        <v>0</v>
      </c>
      <c r="V79" t="b" s="84">
        <v>0</v>
      </c>
      <c r="W79" t="s" s="16">
        <v>448</v>
      </c>
    </row>
    <row r="80" ht="20.05" customHeight="1">
      <c r="A80" t="s" s="69">
        <v>14</v>
      </c>
      <c r="B80" t="s" s="69">
        <v>449</v>
      </c>
      <c r="C80" t="s" s="14">
        <v>450</v>
      </c>
      <c r="D80" t="s" s="83">
        <v>439</v>
      </c>
      <c r="E80" t="s" s="16">
        <v>233</v>
      </c>
      <c r="F80" s="19"/>
      <c r="G80" s="19"/>
      <c r="H80" s="19"/>
      <c r="I80" t="b" s="84">
        <v>1</v>
      </c>
      <c r="J80" t="b" s="84">
        <v>1</v>
      </c>
      <c r="K80" t="b" s="84">
        <v>1</v>
      </c>
      <c r="L80" t="b" s="84">
        <v>1</v>
      </c>
      <c r="M80" t="b" s="84">
        <v>1</v>
      </c>
      <c r="N80" t="b" s="84">
        <v>1</v>
      </c>
      <c r="O80" t="b" s="84">
        <v>1</v>
      </c>
      <c r="P80" t="b" s="84">
        <v>1</v>
      </c>
      <c r="Q80" t="b" s="84">
        <v>1</v>
      </c>
      <c r="R80" t="b" s="84">
        <v>1</v>
      </c>
      <c r="S80" t="b" s="84">
        <v>1</v>
      </c>
      <c r="T80" t="b" s="84">
        <v>1</v>
      </c>
      <c r="U80" t="b" s="84">
        <v>0</v>
      </c>
      <c r="V80" t="b" s="84">
        <v>1</v>
      </c>
      <c r="W80" t="s" s="16">
        <v>440</v>
      </c>
    </row>
    <row r="81" ht="20.05" customHeight="1">
      <c r="A81" t="s" s="69">
        <v>14</v>
      </c>
      <c r="B81" s="71"/>
      <c r="C81" t="s" s="14">
        <v>451</v>
      </c>
      <c r="D81" t="s" s="83">
        <v>439</v>
      </c>
      <c r="E81" t="s" s="16">
        <v>233</v>
      </c>
      <c r="F81" s="19"/>
      <c r="G81" s="19"/>
      <c r="H81" s="19"/>
      <c r="I81" t="b" s="84">
        <v>1</v>
      </c>
      <c r="J81" t="b" s="84">
        <v>0</v>
      </c>
      <c r="K81" t="b" s="84">
        <v>0</v>
      </c>
      <c r="L81" t="b" s="84">
        <v>1</v>
      </c>
      <c r="M81" t="b" s="84">
        <v>1</v>
      </c>
      <c r="N81" t="b" s="84">
        <v>1</v>
      </c>
      <c r="O81" t="b" s="84">
        <v>1</v>
      </c>
      <c r="P81" t="b" s="84">
        <v>1</v>
      </c>
      <c r="Q81" t="b" s="84">
        <v>1</v>
      </c>
      <c r="R81" t="b" s="84">
        <v>1</v>
      </c>
      <c r="S81" t="b" s="84">
        <v>1</v>
      </c>
      <c r="T81" t="b" s="84">
        <v>1</v>
      </c>
      <c r="U81" t="b" s="84">
        <v>0</v>
      </c>
      <c r="V81" t="b" s="84">
        <v>0</v>
      </c>
      <c r="W81" t="s" s="16">
        <v>452</v>
      </c>
    </row>
    <row r="82" ht="20.05" customHeight="1">
      <c r="A82" t="s" s="69">
        <v>14</v>
      </c>
      <c r="B82" t="s" s="69">
        <v>453</v>
      </c>
      <c r="C82" t="s" s="14">
        <v>454</v>
      </c>
      <c r="D82" t="s" s="83">
        <v>439</v>
      </c>
      <c r="E82" t="s" s="16">
        <v>233</v>
      </c>
      <c r="F82" s="19"/>
      <c r="G82" s="19"/>
      <c r="H82" s="19"/>
      <c r="I82" t="b" s="84">
        <v>1</v>
      </c>
      <c r="J82" t="b" s="84">
        <v>1</v>
      </c>
      <c r="K82" t="b" s="84">
        <v>1</v>
      </c>
      <c r="L82" t="b" s="84">
        <v>0</v>
      </c>
      <c r="M82" t="b" s="84">
        <v>0</v>
      </c>
      <c r="N82" t="b" s="84">
        <v>1</v>
      </c>
      <c r="O82" t="b" s="84">
        <v>1</v>
      </c>
      <c r="P82" t="b" s="84">
        <v>1</v>
      </c>
      <c r="Q82" t="b" s="84">
        <v>1</v>
      </c>
      <c r="R82" t="b" s="84">
        <v>1</v>
      </c>
      <c r="S82" t="b" s="84">
        <v>1</v>
      </c>
      <c r="T82" t="b" s="84">
        <v>0</v>
      </c>
      <c r="U82" t="b" s="84">
        <v>0</v>
      </c>
      <c r="V82" t="b" s="84">
        <v>0</v>
      </c>
      <c r="W82" t="s" s="16">
        <v>455</v>
      </c>
    </row>
    <row r="83" ht="20.05" customHeight="1">
      <c r="A83" t="s" s="69">
        <v>14</v>
      </c>
      <c r="B83" t="s" s="69">
        <v>456</v>
      </c>
      <c r="C83" t="s" s="14">
        <v>457</v>
      </c>
      <c r="D83" t="s" s="83">
        <v>439</v>
      </c>
      <c r="E83" t="s" s="16">
        <v>233</v>
      </c>
      <c r="F83" s="19"/>
      <c r="G83" s="19"/>
      <c r="H83" s="19"/>
      <c r="I83" t="b" s="84">
        <v>1</v>
      </c>
      <c r="J83" t="b" s="84">
        <v>1</v>
      </c>
      <c r="K83" t="b" s="84">
        <v>1</v>
      </c>
      <c r="L83" t="b" s="84">
        <v>0</v>
      </c>
      <c r="M83" t="b" s="84">
        <v>0</v>
      </c>
      <c r="N83" t="b" s="84">
        <v>1</v>
      </c>
      <c r="O83" t="b" s="84">
        <v>1</v>
      </c>
      <c r="P83" t="b" s="84">
        <v>1</v>
      </c>
      <c r="Q83" t="b" s="84">
        <v>1</v>
      </c>
      <c r="R83" t="b" s="84">
        <v>1</v>
      </c>
      <c r="S83" t="b" s="84">
        <v>1</v>
      </c>
      <c r="T83" t="b" s="84">
        <v>0</v>
      </c>
      <c r="U83" t="b" s="84">
        <v>0</v>
      </c>
      <c r="V83" t="b" s="84">
        <v>0</v>
      </c>
      <c r="W83" t="s" s="16">
        <v>455</v>
      </c>
    </row>
    <row r="84" ht="20.05" customHeight="1">
      <c r="A84" t="s" s="69">
        <v>14</v>
      </c>
      <c r="B84" t="s" s="69">
        <v>458</v>
      </c>
      <c r="C84" t="s" s="14">
        <v>459</v>
      </c>
      <c r="D84" t="s" s="83">
        <v>439</v>
      </c>
      <c r="E84" t="s" s="16">
        <v>233</v>
      </c>
      <c r="F84" s="19"/>
      <c r="G84" s="19"/>
      <c r="H84" s="19"/>
      <c r="I84" t="b" s="84">
        <v>1</v>
      </c>
      <c r="J84" t="b" s="84">
        <v>0</v>
      </c>
      <c r="K84" t="b" s="84">
        <v>0</v>
      </c>
      <c r="L84" t="b" s="84">
        <v>0</v>
      </c>
      <c r="M84" t="b" s="84">
        <v>0</v>
      </c>
      <c r="N84" t="b" s="84">
        <v>1</v>
      </c>
      <c r="O84" t="b" s="84">
        <v>1</v>
      </c>
      <c r="P84" t="b" s="84">
        <v>1</v>
      </c>
      <c r="Q84" t="b" s="84">
        <v>1</v>
      </c>
      <c r="R84" t="b" s="84">
        <v>1</v>
      </c>
      <c r="S84" t="b" s="84">
        <v>1</v>
      </c>
      <c r="T84" t="b" s="84">
        <v>0</v>
      </c>
      <c r="U84" t="b" s="84">
        <v>0</v>
      </c>
      <c r="V84" t="b" s="84">
        <v>0</v>
      </c>
      <c r="W84" t="s" s="16">
        <v>455</v>
      </c>
    </row>
    <row r="85" ht="20.05" customHeight="1">
      <c r="A85" t="s" s="69">
        <v>14</v>
      </c>
      <c r="B85" t="s" s="69">
        <v>460</v>
      </c>
      <c r="C85" t="s" s="14">
        <v>461</v>
      </c>
      <c r="D85" t="s" s="83">
        <v>439</v>
      </c>
      <c r="E85" t="s" s="16">
        <v>233</v>
      </c>
      <c r="F85" s="19"/>
      <c r="G85" s="19"/>
      <c r="H85" s="19"/>
      <c r="I85" t="b" s="84">
        <v>1</v>
      </c>
      <c r="J85" t="b" s="84">
        <v>1</v>
      </c>
      <c r="K85" t="b" s="84">
        <v>1</v>
      </c>
      <c r="L85" t="b" s="84">
        <v>0</v>
      </c>
      <c r="M85" t="b" s="84">
        <v>0</v>
      </c>
      <c r="N85" t="b" s="84">
        <v>1</v>
      </c>
      <c r="O85" t="b" s="84">
        <v>1</v>
      </c>
      <c r="P85" t="b" s="84">
        <v>1</v>
      </c>
      <c r="Q85" t="b" s="84">
        <v>1</v>
      </c>
      <c r="R85" t="b" s="84">
        <v>1</v>
      </c>
      <c r="S85" t="b" s="84">
        <v>1</v>
      </c>
      <c r="T85" t="b" s="84">
        <v>0</v>
      </c>
      <c r="U85" t="b" s="84">
        <v>0</v>
      </c>
      <c r="V85" t="b" s="84">
        <v>0</v>
      </c>
      <c r="W85" t="s" s="16">
        <v>455</v>
      </c>
    </row>
    <row r="86" ht="20.05" customHeight="1">
      <c r="A86" t="s" s="69">
        <v>14</v>
      </c>
      <c r="B86" t="s" s="69">
        <v>462</v>
      </c>
      <c r="C86" t="s" s="14">
        <v>463</v>
      </c>
      <c r="D86" t="s" s="83">
        <v>439</v>
      </c>
      <c r="E86" t="s" s="16">
        <v>233</v>
      </c>
      <c r="F86" s="19"/>
      <c r="G86" s="19"/>
      <c r="H86" s="19"/>
      <c r="I86" t="b" s="84">
        <v>1</v>
      </c>
      <c r="J86" t="b" s="84">
        <v>0</v>
      </c>
      <c r="K86" t="b" s="84">
        <v>1</v>
      </c>
      <c r="L86" t="b" s="84">
        <v>0</v>
      </c>
      <c r="M86" t="b" s="84">
        <v>0</v>
      </c>
      <c r="N86" t="b" s="84">
        <v>1</v>
      </c>
      <c r="O86" t="b" s="84">
        <v>1</v>
      </c>
      <c r="P86" t="b" s="84">
        <v>1</v>
      </c>
      <c r="Q86" t="b" s="84">
        <v>1</v>
      </c>
      <c r="R86" t="b" s="84">
        <v>1</v>
      </c>
      <c r="S86" t="b" s="84">
        <v>1</v>
      </c>
      <c r="T86" t="b" s="84">
        <v>0</v>
      </c>
      <c r="U86" t="b" s="84">
        <v>0</v>
      </c>
      <c r="V86" t="b" s="84">
        <v>0</v>
      </c>
      <c r="W86" t="s" s="16">
        <v>455</v>
      </c>
    </row>
    <row r="87" ht="20.05" customHeight="1">
      <c r="A87" t="s" s="69">
        <v>14</v>
      </c>
      <c r="B87" s="71"/>
      <c r="C87" t="s" s="14">
        <v>464</v>
      </c>
      <c r="D87" t="s" s="83">
        <v>439</v>
      </c>
      <c r="E87" t="s" s="16">
        <v>233</v>
      </c>
      <c r="F87" s="19"/>
      <c r="G87" s="19"/>
      <c r="H87" s="19"/>
      <c r="I87" t="b" s="84">
        <v>1</v>
      </c>
      <c r="J87" t="b" s="84">
        <v>0</v>
      </c>
      <c r="K87" t="b" s="84">
        <v>1</v>
      </c>
      <c r="L87" t="b" s="84">
        <v>0</v>
      </c>
      <c r="M87" t="b" s="84">
        <v>0</v>
      </c>
      <c r="N87" t="b" s="84">
        <v>1</v>
      </c>
      <c r="O87" t="b" s="84">
        <v>1</v>
      </c>
      <c r="P87" t="b" s="84">
        <v>1</v>
      </c>
      <c r="Q87" t="b" s="84">
        <v>1</v>
      </c>
      <c r="R87" t="b" s="84">
        <v>1</v>
      </c>
      <c r="S87" t="b" s="84">
        <v>1</v>
      </c>
      <c r="T87" t="b" s="84">
        <v>0</v>
      </c>
      <c r="U87" t="b" s="84">
        <v>0</v>
      </c>
      <c r="V87" t="b" s="84">
        <v>0</v>
      </c>
      <c r="W87" t="s" s="16">
        <v>465</v>
      </c>
    </row>
    <row r="88" ht="20.05" customHeight="1">
      <c r="A88" t="s" s="69">
        <v>14</v>
      </c>
      <c r="B88" t="s" s="69">
        <v>466</v>
      </c>
      <c r="C88" t="s" s="14">
        <v>428</v>
      </c>
      <c r="D88" t="s" s="83">
        <v>439</v>
      </c>
      <c r="E88" t="s" s="16">
        <v>233</v>
      </c>
      <c r="F88" s="19"/>
      <c r="G88" s="19"/>
      <c r="H88" s="19"/>
      <c r="I88" t="b" s="84">
        <v>1</v>
      </c>
      <c r="J88" t="b" s="84">
        <v>0</v>
      </c>
      <c r="K88" t="b" s="84">
        <v>1</v>
      </c>
      <c r="L88" t="b" s="84">
        <v>0</v>
      </c>
      <c r="M88" t="b" s="84">
        <v>0</v>
      </c>
      <c r="N88" t="b" s="84">
        <v>1</v>
      </c>
      <c r="O88" t="b" s="84">
        <v>1</v>
      </c>
      <c r="P88" t="b" s="84">
        <v>1</v>
      </c>
      <c r="Q88" t="b" s="84">
        <v>1</v>
      </c>
      <c r="R88" t="b" s="84">
        <v>1</v>
      </c>
      <c r="S88" t="b" s="84">
        <v>1</v>
      </c>
      <c r="T88" t="b" s="84">
        <v>0</v>
      </c>
      <c r="U88" t="b" s="84">
        <v>0</v>
      </c>
      <c r="V88" t="b" s="84">
        <v>0</v>
      </c>
      <c r="W88" t="s" s="16">
        <v>455</v>
      </c>
    </row>
    <row r="89" ht="20.05" customHeight="1">
      <c r="A89" t="s" s="69">
        <v>374</v>
      </c>
      <c r="B89" t="s" s="69">
        <v>467</v>
      </c>
      <c r="C89" t="s" s="14">
        <v>468</v>
      </c>
      <c r="D89" t="s" s="83">
        <v>439</v>
      </c>
      <c r="E89" t="s" s="16">
        <v>233</v>
      </c>
      <c r="F89" s="19"/>
      <c r="G89" s="19"/>
      <c r="H89" s="19"/>
      <c r="I89" t="b" s="84">
        <v>1</v>
      </c>
      <c r="J89" t="b" s="84">
        <v>0</v>
      </c>
      <c r="K89" t="b" s="84">
        <v>0</v>
      </c>
      <c r="L89" t="b" s="84">
        <v>0</v>
      </c>
      <c r="M89" t="b" s="84">
        <v>0</v>
      </c>
      <c r="N89" t="b" s="84">
        <v>0</v>
      </c>
      <c r="O89" t="b" s="84">
        <v>0</v>
      </c>
      <c r="P89" t="b" s="84">
        <v>0</v>
      </c>
      <c r="Q89" t="b" s="84">
        <v>0</v>
      </c>
      <c r="R89" t="b" s="84">
        <v>0</v>
      </c>
      <c r="S89" t="b" s="84">
        <v>0</v>
      </c>
      <c r="T89" t="b" s="84">
        <v>0</v>
      </c>
      <c r="U89" t="b" s="84">
        <v>0</v>
      </c>
      <c r="V89" t="b" s="84">
        <v>0</v>
      </c>
      <c r="W89" t="s" s="16">
        <v>455</v>
      </c>
    </row>
    <row r="90" ht="32.25" customHeight="1">
      <c r="A90" t="s" s="78">
        <v>374</v>
      </c>
      <c r="B90" t="s" s="78">
        <v>467</v>
      </c>
      <c r="C90" t="s" s="85">
        <v>469</v>
      </c>
      <c r="D90" t="s" s="86">
        <v>439</v>
      </c>
      <c r="E90" t="s" s="87">
        <v>233</v>
      </c>
      <c r="F90" s="23"/>
      <c r="G90" s="23"/>
      <c r="H90" s="23"/>
      <c r="I90" t="b" s="88">
        <v>1</v>
      </c>
      <c r="J90" t="b" s="88">
        <v>0</v>
      </c>
      <c r="K90" t="b" s="88">
        <v>0</v>
      </c>
      <c r="L90" t="b" s="88">
        <v>0</v>
      </c>
      <c r="M90" t="b" s="88">
        <v>0</v>
      </c>
      <c r="N90" t="b" s="88">
        <v>0</v>
      </c>
      <c r="O90" t="b" s="88">
        <v>0</v>
      </c>
      <c r="P90" t="b" s="88">
        <v>0</v>
      </c>
      <c r="Q90" t="b" s="88">
        <v>0</v>
      </c>
      <c r="R90" t="b" s="88">
        <v>0</v>
      </c>
      <c r="S90" t="b" s="88">
        <v>0</v>
      </c>
      <c r="T90" t="b" s="88">
        <v>0</v>
      </c>
      <c r="U90" t="b" s="88">
        <v>0</v>
      </c>
      <c r="V90" t="b" s="88">
        <v>0</v>
      </c>
      <c r="W90" t="s" s="87">
        <v>470</v>
      </c>
    </row>
    <row r="91" ht="20.25" customHeight="1">
      <c r="A91" s="89"/>
      <c r="B91" s="90" cm="1">
        <f t="array" ref="B91">COUNTA($C2:$C90)</f>
        <v>89</v>
      </c>
      <c r="C91" s="75"/>
      <c r="D91" s="75"/>
      <c r="E91" s="75"/>
      <c r="F91" s="75"/>
      <c r="G91" s="75"/>
      <c r="H91" s="75"/>
      <c r="I91" s="90" cm="1">
        <f t="array" ref="I91">COUNTIF(I4:I90,TRUE)+2</f>
        <v>89</v>
      </c>
      <c r="J91" s="90" cm="1">
        <f t="array" ref="J91">COUNTIF(J4:J90,TRUE)+2</f>
        <v>30</v>
      </c>
      <c r="K91" s="90" cm="1">
        <f t="array" ref="K91">COUNTIF(K4:K90,TRUE)+2</f>
        <v>44</v>
      </c>
      <c r="L91" s="90" cm="1">
        <f t="array" ref="L91">COUNTIF(L4:L90,TRUE)+2</f>
        <v>49</v>
      </c>
      <c r="M91" s="90" cm="1">
        <f t="array" ref="M91">COUNTIF(M4:M90,TRUE)+2</f>
        <v>58</v>
      </c>
      <c r="N91" s="90" cm="1">
        <f t="array" ref="N91">COUNTIF(N4:N90,TRUE)+2</f>
        <v>74</v>
      </c>
      <c r="O91" s="90" cm="1">
        <f t="array" ref="O91">COUNTIF(O4:O90,TRUE)+2</f>
        <v>74</v>
      </c>
      <c r="P91" s="90" cm="1">
        <f t="array" ref="P91">COUNTIF(P4:P90,TRUE)+2</f>
        <v>74</v>
      </c>
      <c r="Q91" s="90" cm="1">
        <f t="array" ref="Q91">COUNTIF(Q4:Q90,TRUE)+2</f>
        <v>74</v>
      </c>
      <c r="R91" s="90" cm="1">
        <f t="array" ref="R91">COUNTIF(R4:R90,TRUE)+2</f>
        <v>61</v>
      </c>
      <c r="S91" s="90" cm="1">
        <f t="array" ref="S91">COUNTIF(S4:S90,TRUE)+2</f>
        <v>74</v>
      </c>
      <c r="T91" s="90" cm="1">
        <f t="array" ref="T91">COUNTIF(T4:T90,TRUE)+2</f>
        <v>36</v>
      </c>
      <c r="U91" s="90" cm="1">
        <f t="array" ref="U91">COUNTIF(U4:U90,TRUE)</f>
        <v>1</v>
      </c>
      <c r="V91" s="90" cm="1">
        <f t="array" ref="V91">COUNTIF(V4:V90,TRUE)</f>
        <v>12</v>
      </c>
      <c r="W91" s="89"/>
    </row>
  </sheetData>
  <mergeCells count="15">
    <mergeCell ref="B91:C91"/>
    <mergeCell ref="F2:S3"/>
    <mergeCell ref="T2:T3"/>
    <mergeCell ref="U2:U3"/>
    <mergeCell ref="V2:V3"/>
    <mergeCell ref="F45:F46"/>
    <mergeCell ref="F41:F42"/>
    <mergeCell ref="F39:F40"/>
    <mergeCell ref="F37:F38"/>
    <mergeCell ref="F4:F7"/>
    <mergeCell ref="F8:F9"/>
    <mergeCell ref="F19:F20"/>
    <mergeCell ref="F21:F22"/>
    <mergeCell ref="F23:F24"/>
    <mergeCell ref="W2:W3"/>
  </mergeCells>
  <conditionalFormatting sqref="A2:A90">
    <cfRule type="cellIs" dxfId="9" priority="1" operator="equal" stopIfTrue="1">
      <formula>"Traité"</formula>
    </cfRule>
    <cfRule type="cellIs" dxfId="10" priority="2" operator="equal" stopIfTrue="1">
      <formula>"Non traité"</formula>
    </cfRule>
    <cfRule type="cellIs" dxfId="11" priority="3" operator="equal" stopIfTrue="1">
      <formula>"En cours"</formula>
    </cfRule>
  </conditionalFormatting>
  <dataValidations count="4">
    <dataValidation type="list" allowBlank="1" showInputMessage="1" showErrorMessage="1" sqref="A2:A3">
      <formula1>"Traité,En cours,Non traité"</formula1>
    </dataValidation>
    <dataValidation type="list" allowBlank="1" showInputMessage="1" showErrorMessage="1" sqref="D2:D90">
      <formula1>",Mariés,Famille Léa,Famille PA,Amis Léa,Amis PA"</formula1>
    </dataValidation>
    <dataValidation type="list" allowBlank="1" showInputMessage="1" showErrorMessage="1" sqref="E2:E3">
      <formula1>",Adulte,Enfant,Senior"</formula1>
    </dataValidation>
    <dataValidation type="list" allowBlank="1" showInputMessage="1" showErrorMessage="1" sqref="A4:A90">
      <formula1>",Traité,En cours,Non traité"</formula1>
    </dataValidation>
  </dataValidations>
  <hyperlinks>
    <hyperlink ref="G34" r:id="rId1" location="" tooltip="" display="gabrielle.angot@gmail.com"/>
    <hyperlink ref="G35" r:id="rId2" location="" tooltip="" display="louisebertrand123@gmail.com"/>
    <hyperlink ref="G36" r:id="rId3" location="" tooltip="" display="naza31072001@gmail.com"/>
  </hyperlinks>
  <pageMargins left="1" right="1" top="1" bottom="1" header="0.25" footer="0.25"/>
  <pageSetup firstPageNumber="1" fitToHeight="1" fitToWidth="1" scale="100" useFirstPageNumber="0" orientation="landscape"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C7"/>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8.42188" style="91" customWidth="1"/>
    <col min="2" max="3" width="16.3516" style="91" customWidth="1"/>
    <col min="4" max="16384" width="16.3516" style="91" customWidth="1"/>
  </cols>
  <sheetData>
    <row r="1" ht="20.25" customHeight="1">
      <c r="A1" t="s" s="46">
        <v>473</v>
      </c>
      <c r="B1" t="s" s="32">
        <v>220</v>
      </c>
      <c r="C1" t="s" s="32">
        <v>218</v>
      </c>
    </row>
    <row r="2" ht="20.25" customHeight="1">
      <c r="A2" t="s" s="92">
        <v>231</v>
      </c>
      <c r="B2" s="93"/>
      <c r="C2" s="94"/>
    </row>
    <row r="3" ht="20.05" customHeight="1">
      <c r="A3" s="95">
        <v>1</v>
      </c>
      <c r="B3" t="s" s="83">
        <v>474</v>
      </c>
      <c r="C3" t="s" s="16">
        <v>247</v>
      </c>
    </row>
    <row r="4" ht="20.05" customHeight="1">
      <c r="A4" s="95">
        <v>2</v>
      </c>
      <c r="B4" t="s" s="83">
        <v>244</v>
      </c>
      <c r="C4" t="s" s="16">
        <v>244</v>
      </c>
    </row>
    <row r="5" ht="20.05" customHeight="1">
      <c r="A5" t="s" s="96">
        <v>70</v>
      </c>
      <c r="B5" s="97"/>
      <c r="C5" s="43"/>
    </row>
    <row r="6" ht="20.05" customHeight="1">
      <c r="A6" s="95">
        <v>1</v>
      </c>
      <c r="B6" t="s" s="83">
        <v>365</v>
      </c>
      <c r="C6" t="s" s="16">
        <v>365</v>
      </c>
    </row>
    <row r="7" ht="20.05" customHeight="1">
      <c r="A7" s="95">
        <v>2</v>
      </c>
      <c r="B7" t="s" s="83">
        <v>371</v>
      </c>
      <c r="C7" t="s" s="16">
        <v>371</v>
      </c>
    </row>
  </sheetData>
  <mergeCells count="2">
    <mergeCell ref="B2:C2"/>
    <mergeCell ref="B5:C5"/>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C15"/>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11.0703" style="98" customWidth="1"/>
    <col min="2" max="3" width="16.3516" style="98" customWidth="1"/>
    <col min="4" max="16384" width="16.3516" style="98" customWidth="1"/>
  </cols>
  <sheetData>
    <row r="1" ht="20.25" customHeight="1">
      <c r="A1" t="s" s="46">
        <v>477</v>
      </c>
      <c r="B1" t="s" s="32">
        <v>209</v>
      </c>
      <c r="C1" t="s" s="32">
        <v>478</v>
      </c>
    </row>
    <row r="2" ht="20.25" customHeight="1">
      <c r="A2" t="s" s="92">
        <v>231</v>
      </c>
      <c r="B2" s="93"/>
      <c r="C2" s="99"/>
    </row>
    <row r="3" ht="20.05" customHeight="1">
      <c r="A3" s="95">
        <v>1</v>
      </c>
      <c r="B3" t="s" s="83">
        <v>365</v>
      </c>
      <c r="C3" s="19"/>
    </row>
    <row r="4" ht="20.05" customHeight="1">
      <c r="A4" s="95">
        <v>2</v>
      </c>
      <c r="B4" t="s" s="83">
        <v>247</v>
      </c>
      <c r="C4" s="19"/>
    </row>
    <row r="5" ht="20.05" customHeight="1">
      <c r="A5" s="95">
        <v>3</v>
      </c>
      <c r="B5" t="s" s="83">
        <v>333</v>
      </c>
      <c r="C5" s="19"/>
    </row>
    <row r="6" ht="20.05" customHeight="1">
      <c r="A6" s="95">
        <v>4</v>
      </c>
      <c r="B6" t="s" s="83">
        <v>479</v>
      </c>
      <c r="C6" s="19"/>
    </row>
    <row r="7" ht="20.05" customHeight="1">
      <c r="A7" s="95">
        <v>5</v>
      </c>
      <c r="B7" t="s" s="83">
        <v>346</v>
      </c>
      <c r="C7" t="s" s="16">
        <v>480</v>
      </c>
    </row>
    <row r="8" ht="20.05" customHeight="1">
      <c r="A8" s="95">
        <v>6</v>
      </c>
      <c r="B8" t="s" s="83">
        <v>336</v>
      </c>
      <c r="C8" s="19"/>
    </row>
    <row r="9" ht="20.05" customHeight="1">
      <c r="A9" t="s" s="96">
        <v>70</v>
      </c>
      <c r="B9" s="97"/>
      <c r="C9" s="100"/>
    </row>
    <row r="10" ht="20.05" customHeight="1">
      <c r="A10" s="95">
        <v>1</v>
      </c>
      <c r="B10" t="s" s="38">
        <v>438</v>
      </c>
      <c r="C10" t="s" s="39">
        <v>481</v>
      </c>
    </row>
    <row r="11" ht="20.05" customHeight="1">
      <c r="A11" s="95">
        <v>2</v>
      </c>
      <c r="B11" t="s" s="38">
        <v>442</v>
      </c>
      <c r="C11" t="s" s="39">
        <v>482</v>
      </c>
    </row>
    <row r="12" ht="20.05" customHeight="1">
      <c r="A12" s="95">
        <v>3</v>
      </c>
      <c r="B12" t="s" s="83">
        <v>450</v>
      </c>
      <c r="C12" s="19"/>
    </row>
    <row r="13" ht="20.05" customHeight="1">
      <c r="A13" s="95">
        <v>4</v>
      </c>
      <c r="B13" t="s" s="83">
        <v>461</v>
      </c>
      <c r="C13" s="19"/>
    </row>
    <row r="14" ht="20.05" customHeight="1">
      <c r="A14" s="95">
        <v>5</v>
      </c>
      <c r="B14" t="s" s="83">
        <v>371</v>
      </c>
      <c r="C14" s="19"/>
    </row>
    <row r="15" ht="20.05" customHeight="1">
      <c r="A15" s="95">
        <v>6</v>
      </c>
      <c r="B15" t="s" s="83">
        <v>483</v>
      </c>
      <c r="C15" s="19"/>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2:A14"/>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16.3516" style="101" customWidth="1"/>
    <col min="2" max="16384" width="16.3516" style="101" customWidth="1"/>
  </cols>
  <sheetData>
    <row r="1" ht="27.65" customHeight="1">
      <c r="A1" t="s" s="45">
        <v>231</v>
      </c>
    </row>
    <row r="2" ht="20.25" customHeight="1">
      <c r="A2" t="s" s="32">
        <v>486</v>
      </c>
    </row>
    <row r="3" ht="20.25" customHeight="1">
      <c r="A3" t="s" s="68">
        <v>231</v>
      </c>
    </row>
    <row r="4" ht="20.05" customHeight="1">
      <c r="A4" t="s" s="16">
        <v>333</v>
      </c>
    </row>
    <row r="5" ht="20.05" customHeight="1">
      <c r="A5" t="s" s="16">
        <v>346</v>
      </c>
    </row>
    <row r="6" ht="20.05" customHeight="1">
      <c r="A6" t="s" s="16">
        <v>479</v>
      </c>
    </row>
    <row r="7" ht="20.05" customHeight="1">
      <c r="A7" t="s" s="16">
        <v>336</v>
      </c>
    </row>
    <row r="8" ht="20.05" customHeight="1">
      <c r="A8" t="s" s="16">
        <v>487</v>
      </c>
    </row>
    <row r="9" ht="20.05" customHeight="1">
      <c r="A9" t="s" s="16">
        <v>488</v>
      </c>
    </row>
    <row r="10" ht="20.05" customHeight="1">
      <c r="A10" t="s" s="16">
        <v>339</v>
      </c>
    </row>
    <row r="11" ht="20.05" customHeight="1">
      <c r="A11" t="s" s="16">
        <v>489</v>
      </c>
    </row>
    <row r="12" ht="20.05" customHeight="1">
      <c r="A12" t="s" s="16">
        <v>490</v>
      </c>
    </row>
    <row r="13" ht="20.05" customHeight="1">
      <c r="A13" t="s" s="16">
        <v>491</v>
      </c>
    </row>
    <row r="14" ht="20.05" customHeight="1">
      <c r="A14" t="s" s="16">
        <v>492</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2:A12"/>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16.3516" style="102" customWidth="1"/>
    <col min="2" max="16384" width="16.3516" style="102" customWidth="1"/>
  </cols>
  <sheetData>
    <row r="1" ht="27.65" customHeight="1">
      <c r="A1" t="s" s="45">
        <v>70</v>
      </c>
    </row>
    <row r="2" ht="20.25" customHeight="1">
      <c r="A2" t="s" s="32">
        <v>486</v>
      </c>
    </row>
    <row r="3" ht="20.25" customHeight="1">
      <c r="A3" t="s" s="68">
        <v>70</v>
      </c>
    </row>
    <row r="4" ht="20.05" customHeight="1">
      <c r="A4" t="s" s="16">
        <v>438</v>
      </c>
    </row>
    <row r="5" ht="20.05" customHeight="1">
      <c r="A5" t="s" s="16">
        <v>450</v>
      </c>
    </row>
    <row r="6" ht="20.05" customHeight="1">
      <c r="A6" t="s" s="16">
        <v>442</v>
      </c>
    </row>
    <row r="7" ht="20.05" customHeight="1">
      <c r="A7" t="s" s="16">
        <v>461</v>
      </c>
    </row>
    <row r="8" ht="20.05" customHeight="1">
      <c r="A8" t="s" s="16">
        <v>454</v>
      </c>
    </row>
    <row r="9" ht="20.05" customHeight="1">
      <c r="A9" t="s" s="16">
        <v>457</v>
      </c>
    </row>
    <row r="10" ht="20.05" customHeight="1">
      <c r="A10" t="s" s="16">
        <v>447</v>
      </c>
    </row>
    <row r="11" ht="20.05" customHeight="1">
      <c r="A11" s="19"/>
    </row>
    <row r="12" ht="20.05" customHeight="1">
      <c r="A12" s="19"/>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B2:X83"/>
  <sheetViews>
    <sheetView workbookViewId="0" showGridLines="0" defaultGridColor="1">
      <pane topLeftCell="C3" xSplit="2" ySplit="2" activePane="bottomRight" state="frozen"/>
    </sheetView>
  </sheetViews>
  <sheetFormatPr defaultColWidth="16.3333" defaultRowHeight="19.9" customHeight="1" outlineLevelRow="0" outlineLevelCol="0"/>
  <cols>
    <col min="1" max="1" width="3.10156" style="103" customWidth="1"/>
    <col min="2" max="2" width="27.6172" style="103" customWidth="1"/>
    <col min="3" max="3" width="15.9375" style="103" customWidth="1"/>
    <col min="4" max="4" width="12.5547" style="103" customWidth="1"/>
    <col min="5" max="5" width="15.0234" style="103" customWidth="1"/>
    <col min="6" max="6" width="18.8984" style="103" customWidth="1"/>
    <col min="7" max="7" width="38.0703" style="103" customWidth="1"/>
    <col min="8" max="8" width="31.4219" style="103" customWidth="1"/>
    <col min="9" max="11" width="16.3516" style="103" customWidth="1"/>
    <col min="12" max="19" width="22.1562" style="103" customWidth="1"/>
    <col min="20" max="24" width="19.5781" style="103" customWidth="1"/>
    <col min="25" max="16384" width="16.3516" style="103" customWidth="1"/>
  </cols>
  <sheetData>
    <row r="1" ht="60.7" customHeight="1"/>
    <row r="2" ht="22.55" customHeight="1">
      <c r="B2" t="s" s="104">
        <v>209</v>
      </c>
      <c r="C2" t="s" s="105">
        <v>494</v>
      </c>
      <c r="D2" t="s" s="105">
        <v>495</v>
      </c>
      <c r="E2" t="s" s="105">
        <v>496</v>
      </c>
      <c r="F2" t="s" s="105">
        <v>497</v>
      </c>
      <c r="G2" t="s" s="105">
        <v>498</v>
      </c>
      <c r="H2" t="s" s="105">
        <v>499</v>
      </c>
      <c r="I2" t="s" s="105">
        <v>500</v>
      </c>
      <c r="J2" t="s" s="105">
        <v>500</v>
      </c>
      <c r="K2" t="s" s="105">
        <v>501</v>
      </c>
      <c r="L2" t="s" s="105">
        <v>502</v>
      </c>
      <c r="M2" t="s" s="105">
        <v>191</v>
      </c>
      <c r="N2" t="s" s="105">
        <v>503</v>
      </c>
      <c r="O2" t="s" s="105">
        <v>504</v>
      </c>
      <c r="P2" t="s" s="105">
        <v>505</v>
      </c>
      <c r="Q2" t="s" s="105">
        <v>506</v>
      </c>
      <c r="R2" t="s" s="105">
        <v>507</v>
      </c>
      <c r="S2" t="s" s="105">
        <v>508</v>
      </c>
      <c r="T2" t="s" s="105">
        <v>509</v>
      </c>
      <c r="U2" t="s" s="105">
        <v>510</v>
      </c>
      <c r="V2" t="s" s="105">
        <v>511</v>
      </c>
      <c r="W2" t="s" s="105">
        <v>512</v>
      </c>
      <c r="X2" t="s" s="106">
        <v>513</v>
      </c>
    </row>
    <row r="3" ht="8.75" customHeight="1" hidden="1">
      <c r="B3" t="s" s="107">
        <v>514</v>
      </c>
      <c r="C3" t="b" s="108">
        <v>1</v>
      </c>
      <c r="D3" t="b" s="109">
        <v>1</v>
      </c>
      <c r="E3" t="b" s="109">
        <v>1</v>
      </c>
      <c r="F3" t="b" s="109">
        <v>1</v>
      </c>
      <c r="G3" t="s" s="110">
        <v>515</v>
      </c>
      <c r="H3" t="s" s="110">
        <v>516</v>
      </c>
      <c r="I3" t="s" s="110">
        <v>517</v>
      </c>
      <c r="J3" s="111">
        <v>1.25</v>
      </c>
      <c r="K3" s="112">
        <v>6400</v>
      </c>
      <c r="L3" s="112">
        <v>3500</v>
      </c>
      <c r="M3" s="113" cm="1">
        <f t="array" ref="M3">_xlfn.IFERROR(K3+L3,50000)</f>
        <v>9900</v>
      </c>
      <c r="N3" s="114">
        <v>3</v>
      </c>
      <c r="O3" t="s" s="110">
        <v>518</v>
      </c>
      <c r="P3" t="s" s="110">
        <v>519</v>
      </c>
      <c r="Q3" t="s" s="110">
        <v>519</v>
      </c>
      <c r="R3" s="109">
        <v>300</v>
      </c>
      <c r="S3" s="109">
        <v>220</v>
      </c>
      <c r="T3" s="109">
        <v>16</v>
      </c>
      <c r="U3" s="109">
        <v>40</v>
      </c>
      <c r="V3" t="s" s="110">
        <v>519</v>
      </c>
      <c r="W3" s="109" cm="1">
        <f t="array" ref="W3">IF(J3&lt;2.1,1,0)+IF(M3&lt;'Budget - Budget'!$C$3,2,0)+IF(S3&lt;'Invités'!$B$91,0,1)+IF(U3&gt;'Invités'!$P$91,2,0)+IF(V3="Non",0,1)+IF(Q3="Oui",1,0)+IF(P3="Non",2,0)+IF(N3&gt;2,2,0)+IF(M3&gt;15000,-2,0)</f>
        <v>8</v>
      </c>
      <c r="X3" t="b" s="115">
        <v>1</v>
      </c>
    </row>
    <row r="4" ht="36.55" customHeight="1">
      <c r="B4" t="s" s="116">
        <v>83</v>
      </c>
      <c r="C4" t="b" s="117">
        <v>1</v>
      </c>
      <c r="D4" t="b" s="118">
        <v>1</v>
      </c>
      <c r="E4" t="b" s="118">
        <v>1</v>
      </c>
      <c r="F4" t="b" s="118">
        <v>1</v>
      </c>
      <c r="G4" t="s" s="119">
        <v>520</v>
      </c>
      <c r="H4" t="s" s="119">
        <v>521</v>
      </c>
      <c r="I4" t="s" s="119">
        <v>522</v>
      </c>
      <c r="J4" s="120">
        <v>1.83</v>
      </c>
      <c r="K4" s="121">
        <v>10800</v>
      </c>
      <c r="L4" s="121">
        <v>3000</v>
      </c>
      <c r="M4" s="122" cm="1">
        <f t="array" ref="M4">_xlfn.IFERROR(K4+L4,50000)+((0.9*2)*'Invités'!P$91)</f>
        <v>13933.2</v>
      </c>
      <c r="N4" s="123">
        <v>3</v>
      </c>
      <c r="O4" t="s" s="119">
        <v>523</v>
      </c>
      <c r="P4" t="s" s="119">
        <v>524</v>
      </c>
      <c r="Q4" t="s" s="119">
        <v>519</v>
      </c>
      <c r="R4" s="118">
        <v>150</v>
      </c>
      <c r="S4" s="118">
        <v>150</v>
      </c>
      <c r="T4" s="118">
        <v>31</v>
      </c>
      <c r="U4" s="118">
        <v>86</v>
      </c>
      <c r="V4" t="s" s="119">
        <v>524</v>
      </c>
      <c r="W4" s="118" cm="1">
        <f t="array" ref="W4">IF(J4&lt;2.1,1,0)+IF(M4&lt;'Budget - Budget'!$C$3,2,0)+IF(S4&lt;'Invités'!$B$91,0,1)+IF(U4&gt;'Invités'!$P$91,2,0)+IF(V4="Non",0,1)+IF(Q4="Oui",1,0)+IF(P4="Non",2,0)+IF(N4&gt;2,2,0)+IF(M4&gt;15000,-2,0)</f>
        <v>9</v>
      </c>
      <c r="X4" t="b" s="124">
        <v>1</v>
      </c>
    </row>
    <row r="5" ht="8.35" customHeight="1" hidden="1">
      <c r="B5" t="s" s="125">
        <v>525</v>
      </c>
      <c r="C5" t="b" s="126">
        <v>1</v>
      </c>
      <c r="D5" t="b" s="127">
        <v>1</v>
      </c>
      <c r="E5" t="b" s="127">
        <v>1</v>
      </c>
      <c r="F5" t="b" s="127">
        <v>0</v>
      </c>
      <c r="G5" t="s" s="128">
        <v>526</v>
      </c>
      <c r="H5" t="s" s="128">
        <v>527</v>
      </c>
      <c r="I5" t="s" s="128">
        <v>528</v>
      </c>
      <c r="J5" s="129">
        <v>2</v>
      </c>
      <c r="K5" s="130" cm="1">
        <f t="array" ref="K5">7800+420</f>
        <v>8220</v>
      </c>
      <c r="L5" s="130">
        <v>7848</v>
      </c>
      <c r="M5" s="131" cm="1">
        <f t="array" ref="M5">_xlfn.IFERROR(K5+L5,50000)</f>
        <v>16068</v>
      </c>
      <c r="N5" s="132">
        <v>3</v>
      </c>
      <c r="O5" t="s" s="133">
        <v>529</v>
      </c>
      <c r="P5" t="s" s="128">
        <v>519</v>
      </c>
      <c r="Q5" t="s" s="128">
        <v>519</v>
      </c>
      <c r="R5" s="127">
        <v>150</v>
      </c>
      <c r="S5" s="127">
        <v>150</v>
      </c>
      <c r="T5" s="127">
        <v>23</v>
      </c>
      <c r="U5" s="127">
        <v>68</v>
      </c>
      <c r="V5" t="s" s="128">
        <v>524</v>
      </c>
      <c r="W5" s="127" cm="1">
        <f t="array" ref="W5">IF(J5&lt;2.1,1,0)+IF(M5&lt;'Budget - Budget'!$C$3,2,0)+IF(S5&lt;'Invités'!$B$91,0,1)+IF(U5&gt;'Invités'!$P$91,2,0)+IF(V5="Non",0,1)+IF(Q5="Oui",1,0)+IF(P5="Non",2,0)+IF(N5&gt;2,2,0)+IF(M5&gt;15000,-2,0)</f>
        <v>7</v>
      </c>
      <c r="X5" t="b" s="134">
        <v>1</v>
      </c>
    </row>
    <row r="6" ht="8.35" customHeight="1" hidden="1">
      <c r="B6" t="s" s="125">
        <v>530</v>
      </c>
      <c r="C6" t="b" s="126">
        <v>1</v>
      </c>
      <c r="D6" t="b" s="127">
        <v>1</v>
      </c>
      <c r="E6" t="b" s="127">
        <v>1</v>
      </c>
      <c r="F6" t="b" s="127">
        <v>0</v>
      </c>
      <c r="G6" t="s" s="128">
        <v>531</v>
      </c>
      <c r="H6" t="s" s="128">
        <v>532</v>
      </c>
      <c r="I6" t="s" s="128">
        <v>528</v>
      </c>
      <c r="J6" s="129">
        <v>2</v>
      </c>
      <c r="K6" s="130">
        <v>5400</v>
      </c>
      <c r="L6" s="130">
        <v>700</v>
      </c>
      <c r="M6" s="131" cm="1">
        <f t="array" ref="M6">_xlfn.IFERROR(K6+L6,50000)</f>
        <v>6100</v>
      </c>
      <c r="N6" s="132">
        <v>3</v>
      </c>
      <c r="O6" t="s" s="128">
        <v>533</v>
      </c>
      <c r="P6" t="s" s="128">
        <v>519</v>
      </c>
      <c r="Q6" t="s" s="128">
        <v>524</v>
      </c>
      <c r="R6" s="127">
        <v>250</v>
      </c>
      <c r="S6" s="127">
        <v>250</v>
      </c>
      <c r="T6" s="127">
        <v>8</v>
      </c>
      <c r="U6" s="127">
        <v>25</v>
      </c>
      <c r="V6" t="s" s="128">
        <v>519</v>
      </c>
      <c r="W6" s="127" cm="1">
        <f t="array" ref="W6">IF(J6&lt;2.1,1,0)+IF(M6&lt;'Budget - Budget'!$C$3,2,0)+IF(S6&lt;'Invités'!$B$91,0,1)+IF(U6&gt;'Invités'!$P$91,2,0)+IF(V6="Non",0,1)+IF(Q6="Oui",1,0)+IF(P6="Non",2,0)+IF(N6&gt;2,2,0)+IF(M6&gt;15000,-2,0)</f>
        <v>9</v>
      </c>
      <c r="X6" t="b" s="134">
        <v>0</v>
      </c>
    </row>
    <row r="7" ht="8.35" customHeight="1" hidden="1">
      <c r="B7" t="s" s="125">
        <v>534</v>
      </c>
      <c r="C7" t="b" s="126">
        <v>1</v>
      </c>
      <c r="D7" t="b" s="127">
        <v>1</v>
      </c>
      <c r="E7" t="b" s="127">
        <v>1</v>
      </c>
      <c r="F7" t="b" s="127">
        <v>1</v>
      </c>
      <c r="G7" t="s" s="128">
        <v>535</v>
      </c>
      <c r="H7" t="s" s="128">
        <v>536</v>
      </c>
      <c r="I7" t="s" s="128">
        <v>537</v>
      </c>
      <c r="J7" s="129">
        <v>1.75</v>
      </c>
      <c r="K7" s="130">
        <v>7900</v>
      </c>
      <c r="L7" s="130">
        <v>0</v>
      </c>
      <c r="M7" s="131" cm="1">
        <f t="array" ref="M7">_xlfn.IFERROR(K7+L7,50000)</f>
        <v>7900</v>
      </c>
      <c r="N7" s="132">
        <v>3</v>
      </c>
      <c r="O7" t="s" s="135">
        <v>538</v>
      </c>
      <c r="P7" t="s" s="128">
        <v>519</v>
      </c>
      <c r="Q7" t="s" s="128">
        <v>519</v>
      </c>
      <c r="R7" s="127">
        <v>180</v>
      </c>
      <c r="S7" s="127">
        <v>180</v>
      </c>
      <c r="T7" s="127">
        <v>12</v>
      </c>
      <c r="U7" s="127">
        <v>27</v>
      </c>
      <c r="V7" t="s" s="128">
        <v>524</v>
      </c>
      <c r="W7" s="127" cm="1">
        <f t="array" ref="W7">IF(J7&lt;2.1,1,0)+IF(M7&lt;'Budget - Budget'!$C$3,2,0)+IF(S7&lt;'Invités'!$B$91,0,1)+IF(U7&gt;'Invités'!$P$91,2,0)+IF(V7="Non",0,1)+IF(Q7="Oui",1,0)+IF(P7="Non",2,0)+IF(N7&gt;2,2,0)+IF(M7&gt;15000,-2,0)</f>
        <v>9</v>
      </c>
      <c r="X7" t="b" s="134">
        <v>0</v>
      </c>
    </row>
    <row r="8" ht="8.35" customHeight="1" hidden="1">
      <c r="B8" t="s" s="125">
        <v>539</v>
      </c>
      <c r="C8" t="b" s="126">
        <v>1</v>
      </c>
      <c r="D8" t="b" s="127">
        <v>1</v>
      </c>
      <c r="E8" t="b" s="127">
        <v>0</v>
      </c>
      <c r="F8" s="136"/>
      <c r="G8" t="s" s="128">
        <v>540</v>
      </c>
      <c r="H8" t="s" s="128">
        <v>541</v>
      </c>
      <c r="I8" t="s" s="128">
        <v>542</v>
      </c>
      <c r="J8" s="129">
        <v>1</v>
      </c>
      <c r="K8" s="130">
        <v>9900</v>
      </c>
      <c r="L8" s="130">
        <v>0</v>
      </c>
      <c r="M8" s="131" cm="1">
        <f t="array" ref="M8">_xlfn.IFERROR(K8+L8,50000)</f>
        <v>9900</v>
      </c>
      <c r="N8" s="132">
        <v>3</v>
      </c>
      <c r="O8" t="s" s="135">
        <v>543</v>
      </c>
      <c r="P8" t="s" s="128">
        <v>519</v>
      </c>
      <c r="Q8" t="s" s="128">
        <v>519</v>
      </c>
      <c r="R8" s="127">
        <v>150</v>
      </c>
      <c r="S8" s="127">
        <v>150</v>
      </c>
      <c r="T8" s="127">
        <v>6</v>
      </c>
      <c r="U8" s="127">
        <v>22</v>
      </c>
      <c r="V8" t="s" s="128">
        <v>524</v>
      </c>
      <c r="W8" s="127" cm="1">
        <f t="array" ref="W8">IF(J8&lt;2.1,1,0)+IF(M8&lt;'Budget - Budget'!$C$3,2,0)+IF(S8&lt;'Invités'!$B$91,0,1)+IF(U8&gt;'Invités'!$P$91,2,0)+IF(V8="Non",0,1)+IF(Q8="Oui",1,0)+IF(P8="Non",2,0)+IF(N8&gt;2,2,0)+IF(M8&gt;15000,-2,0)</f>
        <v>9</v>
      </c>
      <c r="X8" t="b" s="134">
        <v>0</v>
      </c>
    </row>
    <row r="9" ht="8.35" customHeight="1" hidden="1">
      <c r="B9" t="s" s="125">
        <v>544</v>
      </c>
      <c r="C9" t="b" s="126">
        <v>1</v>
      </c>
      <c r="D9" t="b" s="127">
        <v>1</v>
      </c>
      <c r="E9" t="b" s="127">
        <v>1</v>
      </c>
      <c r="F9" t="b" s="127">
        <v>0</v>
      </c>
      <c r="G9" t="s" s="128">
        <v>545</v>
      </c>
      <c r="H9" t="s" s="128">
        <v>546</v>
      </c>
      <c r="I9" t="s" s="128">
        <v>517</v>
      </c>
      <c r="J9" s="129">
        <v>1.25</v>
      </c>
      <c r="K9" s="130">
        <v>4900</v>
      </c>
      <c r="L9" s="130" cm="1">
        <f t="array" ref="L9">780*2</f>
        <v>1560</v>
      </c>
      <c r="M9" s="131" cm="1">
        <f t="array" ref="M9">_xlfn.IFERROR(K9+L9,50000)</f>
        <v>6460</v>
      </c>
      <c r="N9" s="132">
        <v>3</v>
      </c>
      <c r="O9" t="s" s="128">
        <v>547</v>
      </c>
      <c r="P9" t="s" s="128">
        <v>519</v>
      </c>
      <c r="Q9" t="s" s="128">
        <v>519</v>
      </c>
      <c r="R9" s="127">
        <v>220</v>
      </c>
      <c r="S9" s="127">
        <v>180</v>
      </c>
      <c r="T9" t="s" s="128">
        <v>548</v>
      </c>
      <c r="U9" s="127">
        <v>38</v>
      </c>
      <c r="V9" t="s" s="128">
        <v>519</v>
      </c>
      <c r="W9" s="127" cm="1">
        <f t="array" ref="W9">IF(J9&lt;2.1,1,0)+IF(M9&lt;'Budget - Budget'!$C$3,2,0)+IF(S9&lt;'Invités'!$B$91,0,1)+IF(U9&gt;'Invités'!$P$91,2,0)+IF(V9="Non",0,1)+IF(Q9="Oui",1,0)+IF(P9="Non",2,0)+IF(N9&gt;2,2,0)+IF(M9&gt;15000,-2,0)</f>
        <v>8</v>
      </c>
      <c r="X9" t="b" s="127">
        <v>0</v>
      </c>
    </row>
    <row r="10" ht="8.35" customHeight="1" hidden="1">
      <c r="B10" t="s" s="125">
        <v>549</v>
      </c>
      <c r="C10" t="b" s="126">
        <v>1</v>
      </c>
      <c r="D10" t="b" s="127">
        <v>1</v>
      </c>
      <c r="E10" t="b" s="127">
        <v>1</v>
      </c>
      <c r="F10" t="b" s="127">
        <v>0</v>
      </c>
      <c r="G10" t="s" s="128">
        <v>550</v>
      </c>
      <c r="H10" t="s" s="128">
        <v>551</v>
      </c>
      <c r="I10" t="s" s="128">
        <v>552</v>
      </c>
      <c r="J10" s="129">
        <v>1.33</v>
      </c>
      <c r="K10" s="130">
        <v>4800</v>
      </c>
      <c r="L10" s="130">
        <v>2870</v>
      </c>
      <c r="M10" s="131" cm="1">
        <f t="array" ref="M10">_xlfn.IFERROR(K10+L10,50000)</f>
        <v>7670</v>
      </c>
      <c r="N10" s="132">
        <v>3</v>
      </c>
      <c r="O10" t="s" s="128">
        <v>553</v>
      </c>
      <c r="P10" t="s" s="128">
        <v>519</v>
      </c>
      <c r="Q10" t="s" s="128">
        <v>519</v>
      </c>
      <c r="R10" s="127">
        <v>130</v>
      </c>
      <c r="S10" s="127">
        <v>130</v>
      </c>
      <c r="T10" s="127">
        <v>16</v>
      </c>
      <c r="U10" s="127">
        <v>40</v>
      </c>
      <c r="V10" t="s" s="128">
        <v>524</v>
      </c>
      <c r="W10" s="127" cm="1">
        <f t="array" ref="W10">IF(J10&lt;2.1,1,0)+IF(M10&lt;'Budget - Budget'!$C$3,2,0)+IF(S10&lt;'Invités'!$B$91,0,1)+IF(U10&gt;'Invités'!$P$91,2,0)+IF(V10="Non",0,1)+IF(Q10="Oui",1,0)+IF(P10="Non",2,0)+IF(N10&gt;2,2,0)+IF(M10&gt;15000,-2,0)</f>
        <v>9</v>
      </c>
      <c r="X10" t="b" s="134">
        <v>0</v>
      </c>
    </row>
    <row r="11" ht="8.35" customHeight="1" hidden="1">
      <c r="B11" t="s" s="125">
        <v>554</v>
      </c>
      <c r="C11" t="b" s="126">
        <v>1</v>
      </c>
      <c r="D11" t="b" s="127">
        <v>1</v>
      </c>
      <c r="E11" t="b" s="127">
        <v>1</v>
      </c>
      <c r="F11" t="b" s="127">
        <v>0</v>
      </c>
      <c r="G11" t="s" s="128">
        <v>555</v>
      </c>
      <c r="H11" t="s" s="128">
        <v>556</v>
      </c>
      <c r="I11" t="s" s="128">
        <v>537</v>
      </c>
      <c r="J11" s="129">
        <v>1.75</v>
      </c>
      <c r="K11" s="130">
        <v>5500</v>
      </c>
      <c r="L11" s="137">
        <v>2450</v>
      </c>
      <c r="M11" s="131" cm="1">
        <f t="array" ref="M11">_xlfn.IFERROR(K11+L11,50000)</f>
        <v>7950</v>
      </c>
      <c r="N11" s="132">
        <v>3</v>
      </c>
      <c r="O11" t="s" s="133">
        <v>557</v>
      </c>
      <c r="P11" t="s" s="128">
        <v>519</v>
      </c>
      <c r="Q11" t="s" s="128">
        <v>519</v>
      </c>
      <c r="R11" s="127">
        <v>340</v>
      </c>
      <c r="S11" s="127">
        <v>200</v>
      </c>
      <c r="T11" s="127">
        <v>9</v>
      </c>
      <c r="U11" s="127">
        <v>45</v>
      </c>
      <c r="V11" t="s" s="128">
        <v>519</v>
      </c>
      <c r="W11" s="127" cm="1">
        <f t="array" ref="W11">IF(J11&lt;2.1,1,0)+IF(M11&lt;'Budget - Budget'!$C$3,2,0)+IF(S11&lt;'Invités'!$B$91,0,1)+IF(U11&gt;'Invités'!$P$91,2,0)+IF(V11="Non",0,1)+IF(Q11="Oui",1,0)+IF(P11="Non",2,0)+IF(N11&gt;2,2,0)+IF(M11&gt;15000,-2,0)</f>
        <v>8</v>
      </c>
      <c r="X11" t="b" s="134">
        <v>0</v>
      </c>
    </row>
    <row r="12" ht="8.35" customHeight="1" hidden="1">
      <c r="B12" t="s" s="125">
        <v>558</v>
      </c>
      <c r="C12" t="b" s="126">
        <v>1</v>
      </c>
      <c r="D12" t="b" s="127">
        <v>1</v>
      </c>
      <c r="E12" t="b" s="127">
        <v>1</v>
      </c>
      <c r="F12" t="b" s="127">
        <v>0</v>
      </c>
      <c r="G12" t="s" s="128">
        <v>559</v>
      </c>
      <c r="H12" t="s" s="128">
        <v>560</v>
      </c>
      <c r="I12" t="s" s="128">
        <v>561</v>
      </c>
      <c r="J12" s="129">
        <v>0.92</v>
      </c>
      <c r="K12" s="130">
        <v>6400</v>
      </c>
      <c r="L12" s="130">
        <v>2785</v>
      </c>
      <c r="M12" s="131" cm="1">
        <f t="array" ref="M12">_xlfn.IFERROR(K12+L12,50000)</f>
        <v>9185</v>
      </c>
      <c r="N12" s="132">
        <v>3</v>
      </c>
      <c r="O12" t="s" s="128">
        <v>518</v>
      </c>
      <c r="P12" t="s" s="128">
        <v>519</v>
      </c>
      <c r="Q12" t="s" s="128">
        <v>519</v>
      </c>
      <c r="R12" s="127">
        <v>250</v>
      </c>
      <c r="S12" s="127">
        <v>200</v>
      </c>
      <c r="T12" s="127">
        <v>13</v>
      </c>
      <c r="U12" s="127">
        <v>33</v>
      </c>
      <c r="V12" t="s" s="128">
        <v>519</v>
      </c>
      <c r="W12" s="127" cm="1">
        <f t="array" ref="W12">IF(J12&lt;2.1,1,0)+IF(M12&lt;'Budget - Budget'!$C$3,2,0)+IF(S12&lt;'Invités'!$B$91,0,1)+IF(U12&gt;'Invités'!$P$91,2,0)+IF(V12="Non",0,1)+IF(Q12="Oui",1,0)+IF(P12="Non",2,0)+IF(N12&gt;2,2,0)+IF(M12&gt;15000,-2,0)</f>
        <v>8</v>
      </c>
      <c r="X12" t="b" s="134">
        <v>0</v>
      </c>
    </row>
    <row r="13" ht="8.35" customHeight="1" hidden="1">
      <c r="B13" t="s" s="125">
        <v>562</v>
      </c>
      <c r="C13" t="b" s="126">
        <v>1</v>
      </c>
      <c r="D13" t="b" s="127">
        <v>1</v>
      </c>
      <c r="E13" t="b" s="127">
        <v>1</v>
      </c>
      <c r="F13" t="b" s="127">
        <v>0</v>
      </c>
      <c r="G13" t="s" s="128">
        <v>563</v>
      </c>
      <c r="H13" t="s" s="128">
        <v>564</v>
      </c>
      <c r="I13" t="s" s="128">
        <v>565</v>
      </c>
      <c r="J13" s="129">
        <v>1.67</v>
      </c>
      <c r="K13" s="130">
        <v>8000</v>
      </c>
      <c r="L13" s="138">
        <v>1500</v>
      </c>
      <c r="M13" s="131" cm="1">
        <f t="array" ref="M13">_xlfn.IFERROR(K13+L13,50000)</f>
        <v>9500</v>
      </c>
      <c r="N13" s="132">
        <v>3</v>
      </c>
      <c r="O13" t="s" s="128">
        <v>566</v>
      </c>
      <c r="P13" t="s" s="128">
        <v>519</v>
      </c>
      <c r="Q13" t="s" s="128">
        <v>519</v>
      </c>
      <c r="R13" s="127">
        <v>200</v>
      </c>
      <c r="S13" s="127">
        <v>180</v>
      </c>
      <c r="T13" s="127">
        <v>14</v>
      </c>
      <c r="U13" s="127">
        <v>47</v>
      </c>
      <c r="V13" t="s" s="128">
        <v>519</v>
      </c>
      <c r="W13" s="127" cm="1">
        <f t="array" ref="W13">IF(J13&lt;2.1,1,0)+IF(M13&lt;'Budget - Budget'!$C$3,2,0)+IF(S13&lt;'Invités'!$B$91,0,1)+IF(U13&gt;'Invités'!$P$91,2,0)+IF(V13="Non",0,1)+IF(Q13="Oui",1,0)+IF(P13="Non",2,0)+IF(N13&gt;2,2,0)+IF(M13&gt;15000,-2,0)</f>
        <v>8</v>
      </c>
      <c r="X13" t="b" s="134">
        <v>0</v>
      </c>
    </row>
    <row r="14" ht="8.35" customHeight="1" hidden="1">
      <c r="B14" t="s" s="125">
        <v>567</v>
      </c>
      <c r="C14" t="b" s="126">
        <v>1</v>
      </c>
      <c r="D14" t="b" s="127">
        <v>1</v>
      </c>
      <c r="E14" t="b" s="127">
        <v>1</v>
      </c>
      <c r="F14" t="b" s="127">
        <v>1</v>
      </c>
      <c r="G14" t="s" s="128">
        <v>568</v>
      </c>
      <c r="H14" t="s" s="128">
        <v>569</v>
      </c>
      <c r="I14" t="s" s="128">
        <v>552</v>
      </c>
      <c r="J14" s="129">
        <v>1.33</v>
      </c>
      <c r="K14" s="130">
        <v>9900</v>
      </c>
      <c r="L14" s="130">
        <v>0</v>
      </c>
      <c r="M14" s="131" cm="1">
        <f t="array" ref="M14">_xlfn.IFERROR(K14+L14,50000)</f>
        <v>9900</v>
      </c>
      <c r="N14" s="132">
        <v>3</v>
      </c>
      <c r="O14" t="s" s="135">
        <v>518</v>
      </c>
      <c r="P14" t="s" s="128">
        <v>519</v>
      </c>
      <c r="Q14" t="s" s="128">
        <v>519</v>
      </c>
      <c r="R14" s="127">
        <v>250</v>
      </c>
      <c r="S14" s="127">
        <v>160</v>
      </c>
      <c r="T14" s="127">
        <v>14</v>
      </c>
      <c r="U14" s="127">
        <v>31</v>
      </c>
      <c r="V14" t="s" s="128">
        <v>519</v>
      </c>
      <c r="W14" s="127" cm="1">
        <f t="array" ref="W14">IF(J14&lt;2.1,1,0)+IF(M14&lt;'Budget - Budget'!$C$3,2,0)+IF(S14&lt;'Invités'!$B$91,0,1)+IF(U14&gt;'Invités'!$P$91,2,0)+IF(V14="Non",0,1)+IF(Q14="Oui",1,0)+IF(P14="Non",2,0)+IF(N14&gt;2,2,0)+IF(M14&gt;15000,-2,0)</f>
        <v>8</v>
      </c>
      <c r="X14" t="b" s="134">
        <v>1</v>
      </c>
    </row>
    <row r="15" ht="8.35" customHeight="1" hidden="1">
      <c r="B15" t="s" s="125">
        <v>570</v>
      </c>
      <c r="C15" t="b" s="126">
        <v>1</v>
      </c>
      <c r="D15" t="b" s="127">
        <v>1</v>
      </c>
      <c r="E15" t="b" s="127">
        <v>1</v>
      </c>
      <c r="F15" t="b" s="127">
        <v>0</v>
      </c>
      <c r="G15" t="s" s="128">
        <v>571</v>
      </c>
      <c r="H15" t="s" s="128">
        <v>572</v>
      </c>
      <c r="I15" t="s" s="128">
        <v>573</v>
      </c>
      <c r="J15" s="129">
        <v>1.5</v>
      </c>
      <c r="K15" s="130">
        <v>6400</v>
      </c>
      <c r="L15" s="139">
        <v>3502</v>
      </c>
      <c r="M15" s="131" cm="1">
        <f t="array" ref="M15">_xlfn.IFERROR(K15+L15,50000)</f>
        <v>9902</v>
      </c>
      <c r="N15" s="132">
        <v>3</v>
      </c>
      <c r="O15" t="s" s="128">
        <v>574</v>
      </c>
      <c r="P15" t="s" s="128">
        <v>519</v>
      </c>
      <c r="Q15" t="s" s="128">
        <v>519</v>
      </c>
      <c r="R15" s="127">
        <v>380</v>
      </c>
      <c r="S15" s="127">
        <v>380</v>
      </c>
      <c r="T15" s="127">
        <v>16</v>
      </c>
      <c r="U15" s="127">
        <v>48</v>
      </c>
      <c r="V15" t="s" s="128">
        <v>519</v>
      </c>
      <c r="W15" s="127" cm="1">
        <f t="array" ref="W15">IF(J15&lt;2.1,1,0)+IF(M15&lt;'Budget - Budget'!$C$3,2,0)+IF(S15&lt;'Invités'!$B$91,0,1)+IF(U15&gt;'Invités'!$P$91,2,0)+IF(V15="Non",0,1)+IF(Q15="Oui",1,0)+IF(P15="Non",2,0)+IF(N15&gt;2,2,0)+IF(M15&gt;15000,-2,0)</f>
        <v>8</v>
      </c>
      <c r="X15" t="b" s="134">
        <v>0</v>
      </c>
    </row>
    <row r="16" ht="8.35" customHeight="1" hidden="1">
      <c r="B16" t="s" s="125">
        <v>575</v>
      </c>
      <c r="C16" t="b" s="126">
        <v>1</v>
      </c>
      <c r="D16" t="b" s="127">
        <v>1</v>
      </c>
      <c r="E16" t="b" s="127">
        <v>1</v>
      </c>
      <c r="F16" t="b" s="127">
        <v>0</v>
      </c>
      <c r="G16" t="s" s="128">
        <v>576</v>
      </c>
      <c r="H16" t="s" s="128">
        <v>577</v>
      </c>
      <c r="I16" t="s" s="128">
        <v>573</v>
      </c>
      <c r="J16" s="129">
        <v>1.5</v>
      </c>
      <c r="K16" s="130">
        <v>9010</v>
      </c>
      <c r="L16" s="130" cm="1">
        <f t="array" ref="L16">72*45</f>
        <v>3240</v>
      </c>
      <c r="M16" s="131" cm="1">
        <f t="array" ref="M16">_xlfn.IFERROR(K16+L16,50000)</f>
        <v>12250</v>
      </c>
      <c r="N16" s="132">
        <v>3</v>
      </c>
      <c r="O16" t="s" s="128">
        <v>578</v>
      </c>
      <c r="P16" t="s" s="128">
        <v>519</v>
      </c>
      <c r="Q16" t="s" s="128">
        <v>519</v>
      </c>
      <c r="R16" s="127">
        <v>250</v>
      </c>
      <c r="S16" s="127">
        <v>250</v>
      </c>
      <c r="T16" s="127">
        <v>70</v>
      </c>
      <c r="U16" s="127">
        <v>230</v>
      </c>
      <c r="V16" t="s" s="128">
        <v>519</v>
      </c>
      <c r="W16" s="127" cm="1">
        <f t="array" ref="W16">IF(J16&lt;2.1,1,0)+IF(M16&lt;'Budget - Budget'!$C$3,2,0)+IF(S16&lt;'Invités'!$B$91,0,1)+IF(U16&gt;'Invités'!$P$91,2,0)+IF(V16="Non",0,1)+IF(Q16="Oui",1,0)+IF(P16="Non",2,0)+IF(N16&gt;2,2,0)+IF(M16&gt;15000,-2,0)</f>
        <v>10</v>
      </c>
      <c r="X16" t="b" s="134">
        <v>0</v>
      </c>
    </row>
    <row r="17" ht="8.35" customHeight="1" hidden="1">
      <c r="B17" t="s" s="125">
        <v>579</v>
      </c>
      <c r="C17" t="b" s="126">
        <v>1</v>
      </c>
      <c r="D17" t="b" s="127">
        <v>1</v>
      </c>
      <c r="E17" t="b" s="127">
        <v>1</v>
      </c>
      <c r="F17" t="b" s="127">
        <v>1</v>
      </c>
      <c r="G17" t="s" s="128">
        <v>580</v>
      </c>
      <c r="H17" t="s" s="128">
        <v>581</v>
      </c>
      <c r="I17" t="s" s="128">
        <v>561</v>
      </c>
      <c r="J17" s="129">
        <v>0.92</v>
      </c>
      <c r="K17" s="130">
        <v>10100</v>
      </c>
      <c r="L17" s="130">
        <v>4400</v>
      </c>
      <c r="M17" s="131" cm="1">
        <f t="array" ref="M17">_xlfn.IFERROR(K17+L17,50000)</f>
        <v>14500</v>
      </c>
      <c r="N17" s="132">
        <v>3</v>
      </c>
      <c r="O17" t="s" s="128">
        <v>582</v>
      </c>
      <c r="P17" t="s" s="128">
        <v>519</v>
      </c>
      <c r="Q17" t="s" s="128">
        <v>519</v>
      </c>
      <c r="R17" s="127">
        <v>200</v>
      </c>
      <c r="S17" s="127">
        <v>200</v>
      </c>
      <c r="T17" s="127">
        <v>19</v>
      </c>
      <c r="U17" s="127">
        <v>57</v>
      </c>
      <c r="V17" t="s" s="128">
        <v>519</v>
      </c>
      <c r="W17" s="127" cm="1">
        <f t="array" ref="W17">IF(J17&lt;2.1,1,0)+IF(M17&lt;'Budget - Budget'!$C$3,2,0)+IF(S17&lt;'Invités'!$B$91,0,1)+IF(U17&gt;'Invités'!$P$91,2,0)+IF(V17="Non",0,1)+IF(Q17="Oui",1,0)+IF(P17="Non",2,0)+IF(N17&gt;2,2,0)+IF(M17&gt;15000,-2,0)</f>
        <v>8</v>
      </c>
      <c r="X17" t="b" s="134">
        <v>0</v>
      </c>
    </row>
    <row r="18" ht="8.35" customHeight="1" hidden="1">
      <c r="B18" t="s" s="125">
        <v>583</v>
      </c>
      <c r="C18" t="b" s="126">
        <v>1</v>
      </c>
      <c r="D18" t="b" s="127">
        <v>1</v>
      </c>
      <c r="E18" t="b" s="127">
        <v>0</v>
      </c>
      <c r="F18" s="136"/>
      <c r="G18" t="s" s="128">
        <v>584</v>
      </c>
      <c r="H18" t="s" s="128">
        <v>585</v>
      </c>
      <c r="I18" t="s" s="128">
        <v>542</v>
      </c>
      <c r="J18" s="129">
        <v>1</v>
      </c>
      <c r="K18" s="130" cm="1">
        <f t="array" ref="K18">5900+600</f>
        <v>6500</v>
      </c>
      <c r="L18" s="139">
        <v>2428</v>
      </c>
      <c r="M18" s="131" cm="1">
        <f t="array" ref="M18">_xlfn.IFERROR(K18+L18,50000)</f>
        <v>8928</v>
      </c>
      <c r="N18" s="132">
        <v>2</v>
      </c>
      <c r="O18" t="s" s="128">
        <v>586</v>
      </c>
      <c r="P18" t="s" s="128">
        <v>519</v>
      </c>
      <c r="Q18" t="s" s="128">
        <v>519</v>
      </c>
      <c r="R18" s="127">
        <v>350</v>
      </c>
      <c r="S18" s="127">
        <v>350</v>
      </c>
      <c r="T18" s="127">
        <v>23</v>
      </c>
      <c r="U18" s="127">
        <v>63</v>
      </c>
      <c r="V18" t="s" s="128">
        <v>519</v>
      </c>
      <c r="W18" s="127" cm="1">
        <f t="array" ref="W18">IF(J18&lt;2.1,1,0)+IF(M18&lt;'Budget - Budget'!$C$3,2,0)+IF(S18&lt;'Invités'!$B$91,0,1)+IF(U18&gt;'Invités'!$P$91,2,0)+IF(V18="Non",0,1)+IF(Q18="Oui",1,0)+IF(P18="Non",2,0)+IF(N18&gt;2,2,0)+IF(M18&gt;15000,-2,0)</f>
        <v>6</v>
      </c>
      <c r="X18" t="b" s="134">
        <v>0</v>
      </c>
    </row>
    <row r="19" ht="8.35" customHeight="1" hidden="1">
      <c r="B19" t="s" s="125">
        <v>587</v>
      </c>
      <c r="C19" t="b" s="126">
        <v>1</v>
      </c>
      <c r="D19" t="b" s="127">
        <v>1</v>
      </c>
      <c r="E19" t="b" s="127">
        <v>1</v>
      </c>
      <c r="F19" t="b" s="127">
        <v>0</v>
      </c>
      <c r="G19" t="s" s="128">
        <v>588</v>
      </c>
      <c r="H19" t="s" s="128">
        <v>589</v>
      </c>
      <c r="I19" t="s" s="128">
        <v>542</v>
      </c>
      <c r="J19" s="129">
        <v>1</v>
      </c>
      <c r="K19" s="140">
        <v>12700</v>
      </c>
      <c r="L19" s="130">
        <v>0</v>
      </c>
      <c r="M19" s="131" cm="1">
        <f t="array" ref="M19">_xlfn.IFERROR(K19+L19,50000)</f>
        <v>12700</v>
      </c>
      <c r="N19" s="132">
        <v>3</v>
      </c>
      <c r="O19" t="s" s="141">
        <v>590</v>
      </c>
      <c r="P19" t="s" s="128">
        <v>519</v>
      </c>
      <c r="Q19" t="s" s="128">
        <v>519</v>
      </c>
      <c r="R19" s="127">
        <v>300</v>
      </c>
      <c r="S19" s="127">
        <v>200</v>
      </c>
      <c r="T19" s="127">
        <v>25</v>
      </c>
      <c r="U19" s="127">
        <v>80</v>
      </c>
      <c r="V19" t="s" s="128">
        <v>519</v>
      </c>
      <c r="W19" s="127" cm="1">
        <f t="array" ref="W19">IF(J19&lt;2.1,1,0)+IF(M19&lt;'Budget - Budget'!$C$3,2,0)+IF(S19&lt;'Invités'!$B$91,0,1)+IF(U19&gt;'Invités'!$P$91,2,0)+IF(V19="Non",0,1)+IF(Q19="Oui",1,0)+IF(P19="Non",2,0)+IF(N19&gt;2,2,0)+IF(M19&gt;15000,-2,0)</f>
        <v>10</v>
      </c>
      <c r="X19" t="b" s="134">
        <v>0</v>
      </c>
    </row>
    <row r="20" ht="8.35" customHeight="1" hidden="1">
      <c r="B20" t="s" s="125">
        <v>591</v>
      </c>
      <c r="C20" t="b" s="126">
        <v>1</v>
      </c>
      <c r="D20" t="b" s="127">
        <v>1</v>
      </c>
      <c r="E20" t="b" s="127">
        <v>1</v>
      </c>
      <c r="F20" s="136"/>
      <c r="G20" t="s" s="128">
        <v>592</v>
      </c>
      <c r="H20" t="s" s="128">
        <v>593</v>
      </c>
      <c r="I20" t="s" s="128">
        <v>522</v>
      </c>
      <c r="J20" s="129">
        <v>1.83</v>
      </c>
      <c r="K20" s="130">
        <v>5500</v>
      </c>
      <c r="L20" s="130">
        <v>600</v>
      </c>
      <c r="M20" s="131" cm="1">
        <f t="array" ref="M20">_xlfn.IFERROR(K20+L20,50000)</f>
        <v>6100</v>
      </c>
      <c r="N20" s="132">
        <v>3</v>
      </c>
      <c r="O20" t="s" s="142">
        <v>594</v>
      </c>
      <c r="P20" t="s" s="128">
        <v>519</v>
      </c>
      <c r="Q20" t="s" s="128">
        <v>519</v>
      </c>
      <c r="R20" s="127">
        <v>230</v>
      </c>
      <c r="S20" s="127">
        <v>230</v>
      </c>
      <c r="T20" s="127">
        <v>13</v>
      </c>
      <c r="U20" s="127">
        <v>45</v>
      </c>
      <c r="V20" t="s" s="128">
        <v>519</v>
      </c>
      <c r="W20" s="127" cm="1">
        <f t="array" ref="W20">IF(J20&lt;2.1,1,0)+IF(M20&lt;'Budget - Budget'!$C$3,2,0)+IF(S20&lt;'Invités'!$B$91,0,1)+IF(U20&gt;'Invités'!$P$91,2,0)+IF(V20="Non",0,1)+IF(Q20="Oui",1,0)+IF(P20="Non",2,0)+IF(N20&gt;2,2,0)+IF(M20&gt;15000,-2,0)</f>
        <v>8</v>
      </c>
      <c r="X20" t="b" s="134">
        <v>0</v>
      </c>
    </row>
    <row r="21" ht="8.35" customHeight="1" hidden="1">
      <c r="B21" t="s" s="125">
        <v>595</v>
      </c>
      <c r="C21" t="b" s="126">
        <v>1</v>
      </c>
      <c r="D21" t="b" s="127">
        <v>1</v>
      </c>
      <c r="E21" t="b" s="127">
        <v>1</v>
      </c>
      <c r="F21" t="b" s="127">
        <v>1</v>
      </c>
      <c r="G21" t="s" s="128">
        <v>596</v>
      </c>
      <c r="H21" t="s" s="128">
        <v>597</v>
      </c>
      <c r="I21" t="s" s="128">
        <v>522</v>
      </c>
      <c r="J21" s="129">
        <v>1.83</v>
      </c>
      <c r="K21" s="130">
        <v>3650</v>
      </c>
      <c r="L21" s="130">
        <v>0</v>
      </c>
      <c r="M21" s="131" cm="1">
        <f t="array" ref="M21">_xlfn.IFERROR(K21+L21,50000)</f>
        <v>3650</v>
      </c>
      <c r="N21" s="132">
        <v>3</v>
      </c>
      <c r="O21" t="s" s="141">
        <v>529</v>
      </c>
      <c r="P21" t="s" s="128">
        <v>519</v>
      </c>
      <c r="Q21" t="s" s="128">
        <v>519</v>
      </c>
      <c r="R21" s="127">
        <v>120</v>
      </c>
      <c r="S21" s="127">
        <v>120</v>
      </c>
      <c r="T21" s="127">
        <v>9</v>
      </c>
      <c r="U21" s="127">
        <v>35</v>
      </c>
      <c r="V21" t="s" s="128">
        <v>519</v>
      </c>
      <c r="W21" s="127" cm="1">
        <f t="array" ref="W21">IF(J21&lt;2.1,1,0)+IF(M21&lt;'Budget - Budget'!$C$3,2,0)+IF(S21&lt;'Invités'!$B$91,0,1)+IF(U21&gt;'Invités'!$P$91,2,0)+IF(V21="Non",0,1)+IF(Q21="Oui",1,0)+IF(P21="Non",2,0)+IF(N21&gt;2,2,0)+IF(M21&gt;15000,-2,0)</f>
        <v>8</v>
      </c>
      <c r="X21" t="b" s="134">
        <v>0</v>
      </c>
    </row>
    <row r="22" ht="8.35" customHeight="1" hidden="1">
      <c r="B22" t="s" s="125">
        <v>598</v>
      </c>
      <c r="C22" t="b" s="126">
        <v>1</v>
      </c>
      <c r="D22" t="b" s="127">
        <v>1</v>
      </c>
      <c r="E22" t="b" s="127">
        <v>1</v>
      </c>
      <c r="F22" t="b" s="127">
        <v>0</v>
      </c>
      <c r="G22" t="s" s="128">
        <v>599</v>
      </c>
      <c r="H22" t="s" s="128">
        <v>600</v>
      </c>
      <c r="I22" t="s" s="128">
        <v>517</v>
      </c>
      <c r="J22" s="129">
        <v>1.25</v>
      </c>
      <c r="K22" s="130">
        <v>5300</v>
      </c>
      <c r="L22" s="130" cm="1">
        <f t="array" ref="L22">810+780</f>
        <v>1590</v>
      </c>
      <c r="M22" s="131" cm="1">
        <f t="array" ref="M22">_xlfn.IFERROR(K22+L22,50000)</f>
        <v>6890</v>
      </c>
      <c r="N22" s="132">
        <v>3</v>
      </c>
      <c r="O22" t="s" s="135">
        <v>601</v>
      </c>
      <c r="P22" t="s" s="128">
        <v>519</v>
      </c>
      <c r="Q22" t="s" s="128">
        <v>519</v>
      </c>
      <c r="R22" s="127">
        <v>120</v>
      </c>
      <c r="S22" s="127">
        <v>120</v>
      </c>
      <c r="T22" s="127">
        <v>5</v>
      </c>
      <c r="U22" s="127">
        <v>26</v>
      </c>
      <c r="V22" t="s" s="128">
        <v>519</v>
      </c>
      <c r="W22" s="127" cm="1">
        <f t="array" ref="W22">IF(J22&lt;2.1,1,0)+IF(M22&lt;'Budget - Budget'!$C$3,2,0)+IF(S22&lt;'Invités'!$B$91,0,1)+IF(U22&gt;'Invités'!$P$91,2,0)+IF(V22="Non",0,1)+IF(Q22="Oui",1,0)+IF(P22="Non",2,0)+IF(N22&gt;2,2,0)+IF(M22&gt;15000,-2,0)</f>
        <v>8</v>
      </c>
      <c r="X22" t="b" s="134">
        <v>0</v>
      </c>
    </row>
    <row r="23" ht="60.9" customHeight="1" hidden="1">
      <c r="B23" t="s" s="125">
        <v>602</v>
      </c>
      <c r="C23" t="b" s="126">
        <v>1</v>
      </c>
      <c r="D23" t="b" s="127">
        <v>1</v>
      </c>
      <c r="E23" t="b" s="127">
        <v>1</v>
      </c>
      <c r="F23" t="b" s="127">
        <v>0</v>
      </c>
      <c r="G23" t="s" s="128">
        <v>603</v>
      </c>
      <c r="H23" t="s" s="128">
        <v>604</v>
      </c>
      <c r="I23" t="s" s="128">
        <v>605</v>
      </c>
      <c r="J23" s="129">
        <v>3.25</v>
      </c>
      <c r="K23" s="130">
        <v>4370</v>
      </c>
      <c r="L23" s="130">
        <v>2740</v>
      </c>
      <c r="M23" s="131" cm="1">
        <f t="array" ref="M23">_xlfn.IFERROR(K23+L23,50000)</f>
        <v>7110</v>
      </c>
      <c r="N23" s="132">
        <v>4</v>
      </c>
      <c r="O23" t="s" s="128">
        <v>606</v>
      </c>
      <c r="P23" t="s" s="128">
        <v>519</v>
      </c>
      <c r="Q23" t="s" s="128">
        <v>519</v>
      </c>
      <c r="R23" s="127">
        <v>350</v>
      </c>
      <c r="S23" s="127">
        <v>200</v>
      </c>
      <c r="T23" s="127">
        <v>10</v>
      </c>
      <c r="U23" s="127">
        <v>30</v>
      </c>
      <c r="V23" t="s" s="128">
        <v>519</v>
      </c>
      <c r="W23" s="127" cm="1">
        <f t="array" ref="W23">IF(J23&lt;2.1,1,0)+IF(M23&lt;'Budget - Budget'!$C$3,2,0)+IF(S23&lt;'Invités'!$B$91,0,1)+IF(U23&gt;'Invités'!$P$91,2,0)+IF(V23="Non",0,1)+IF(Q23="Oui",1,0)+IF(P23="Non",2,0)+IF(N23&gt;2,2,0)+IF(M23&gt;15000,-2,0)</f>
        <v>7</v>
      </c>
      <c r="X23" t="b" s="134">
        <v>0</v>
      </c>
    </row>
    <row r="24" ht="8.35" customHeight="1" hidden="1">
      <c r="B24" t="s" s="125">
        <v>607</v>
      </c>
      <c r="C24" t="b" s="126">
        <v>1</v>
      </c>
      <c r="D24" t="b" s="127">
        <v>1</v>
      </c>
      <c r="E24" t="b" s="127">
        <v>1</v>
      </c>
      <c r="F24" t="b" s="127">
        <v>0</v>
      </c>
      <c r="G24" t="s" s="128">
        <v>608</v>
      </c>
      <c r="H24" t="s" s="128">
        <v>609</v>
      </c>
      <c r="I24" t="s" s="128">
        <v>610</v>
      </c>
      <c r="J24" s="129">
        <v>2.5</v>
      </c>
      <c r="K24" s="130">
        <v>5700</v>
      </c>
      <c r="L24" s="130">
        <v>2760</v>
      </c>
      <c r="M24" s="131" cm="1">
        <f t="array" ref="M24">_xlfn.IFERROR(K24+L24,50000)</f>
        <v>8460</v>
      </c>
      <c r="N24" s="132">
        <v>3</v>
      </c>
      <c r="O24" t="s" s="143">
        <v>611</v>
      </c>
      <c r="P24" t="s" s="128">
        <v>519</v>
      </c>
      <c r="Q24" t="s" s="128">
        <v>519</v>
      </c>
      <c r="R24" s="127">
        <v>1200</v>
      </c>
      <c r="S24" s="127">
        <v>300</v>
      </c>
      <c r="T24" s="127">
        <v>13</v>
      </c>
      <c r="U24" s="127">
        <v>44</v>
      </c>
      <c r="V24" t="s" s="128">
        <v>519</v>
      </c>
      <c r="W24" s="127" cm="1">
        <f t="array" ref="W24">IF(J24&lt;2.1,1,0)+IF(M24&lt;'Budget - Budget'!$C$3,2,0)+IF(S24&lt;'Invités'!$B$91,0,1)+IF(U24&gt;'Invités'!$P$91,2,0)+IF(V24="Non",0,1)+IF(Q24="Oui",1,0)+IF(P24="Non",2,0)+IF(N24&gt;2,2,0)+IF(M24&gt;15000,-2,0)</f>
        <v>7</v>
      </c>
      <c r="X24" t="b" s="134">
        <v>0</v>
      </c>
    </row>
    <row r="25" ht="8.35" customHeight="1" hidden="1">
      <c r="B25" t="s" s="125">
        <v>612</v>
      </c>
      <c r="C25" t="b" s="126">
        <v>1</v>
      </c>
      <c r="D25" t="b" s="127">
        <v>1</v>
      </c>
      <c r="E25" t="b" s="127">
        <v>1</v>
      </c>
      <c r="F25" t="b" s="127">
        <v>0</v>
      </c>
      <c r="G25" t="s" s="128">
        <v>613</v>
      </c>
      <c r="H25" t="s" s="128">
        <v>614</v>
      </c>
      <c r="I25" t="s" s="128">
        <v>615</v>
      </c>
      <c r="J25" s="129">
        <v>2.75</v>
      </c>
      <c r="K25" s="130">
        <v>7500</v>
      </c>
      <c r="L25" s="130">
        <v>2000</v>
      </c>
      <c r="M25" s="131" cm="1">
        <f t="array" ref="M25">_xlfn.IFERROR(K25+L25,50000)</f>
        <v>9500</v>
      </c>
      <c r="N25" s="132">
        <v>3</v>
      </c>
      <c r="O25" t="s" s="128">
        <v>616</v>
      </c>
      <c r="P25" t="s" s="128">
        <v>519</v>
      </c>
      <c r="Q25" t="s" s="128">
        <v>519</v>
      </c>
      <c r="R25" s="127">
        <v>280</v>
      </c>
      <c r="S25" s="127">
        <v>140</v>
      </c>
      <c r="T25" s="127">
        <v>21</v>
      </c>
      <c r="U25" s="127">
        <v>42</v>
      </c>
      <c r="V25" t="s" s="128">
        <v>519</v>
      </c>
      <c r="W25" s="127" cm="1">
        <f t="array" ref="W25">IF(J25&lt;2.1,1,0)+IF(M25&lt;'Budget - Budget'!$C$3,2,0)+IF(S25&lt;'Invités'!$B$91,0,1)+IF(U25&gt;'Invités'!$P$91,2,0)+IF(V25="Non",0,1)+IF(Q25="Oui",1,0)+IF(P25="Non",2,0)+IF(N25&gt;2,2,0)+IF(M25&gt;15000,-2,0)</f>
        <v>7</v>
      </c>
      <c r="X25" t="b" s="134">
        <v>0</v>
      </c>
    </row>
    <row r="26" ht="8.35" customHeight="1" hidden="1">
      <c r="B26" t="s" s="125">
        <v>617</v>
      </c>
      <c r="C26" t="b" s="126">
        <v>1</v>
      </c>
      <c r="D26" t="b" s="127">
        <v>1</v>
      </c>
      <c r="E26" t="b" s="127">
        <v>1</v>
      </c>
      <c r="F26" t="b" s="127">
        <v>1</v>
      </c>
      <c r="G26" t="s" s="128">
        <v>618</v>
      </c>
      <c r="H26" t="s" s="128">
        <v>619</v>
      </c>
      <c r="I26" t="s" s="128">
        <v>517</v>
      </c>
      <c r="J26" s="129">
        <v>1.25</v>
      </c>
      <c r="K26" s="130">
        <v>7050</v>
      </c>
      <c r="L26" s="130">
        <v>2500</v>
      </c>
      <c r="M26" s="131" cm="1">
        <f t="array" ref="M26">_xlfn.IFERROR(K26+L26,50000)</f>
        <v>9550</v>
      </c>
      <c r="N26" s="132">
        <v>3</v>
      </c>
      <c r="O26" t="s" s="144">
        <v>620</v>
      </c>
      <c r="P26" t="s" s="128">
        <v>519</v>
      </c>
      <c r="Q26" t="s" s="128">
        <v>519</v>
      </c>
      <c r="R26" s="127">
        <v>110</v>
      </c>
      <c r="S26" s="127">
        <v>110</v>
      </c>
      <c r="T26" s="127">
        <v>9</v>
      </c>
      <c r="U26" s="127">
        <v>21</v>
      </c>
      <c r="V26" t="s" s="128">
        <v>519</v>
      </c>
      <c r="W26" s="127" cm="1">
        <f t="array" ref="W26">IF(J26&lt;2.1,1,0)+IF(M26&lt;'Budget - Budget'!$C$3,2,0)+IF(S26&lt;'Invités'!$B$91,0,1)+IF(U26&gt;'Invités'!$P$91,2,0)+IF(V26="Non",0,1)+IF(Q26="Oui",1,0)+IF(P26="Non",2,0)+IF(N26&gt;2,2,0)+IF(M26&gt;15000,-2,0)</f>
        <v>8</v>
      </c>
      <c r="X26" t="b" s="134">
        <v>0</v>
      </c>
    </row>
    <row r="27" ht="8.35" customHeight="1" hidden="1">
      <c r="B27" t="s" s="125">
        <v>621</v>
      </c>
      <c r="C27" t="b" s="126">
        <v>1</v>
      </c>
      <c r="D27" t="b" s="127">
        <v>1</v>
      </c>
      <c r="E27" t="b" s="127">
        <v>1</v>
      </c>
      <c r="F27" t="b" s="127">
        <v>0</v>
      </c>
      <c r="G27" t="s" s="128">
        <v>622</v>
      </c>
      <c r="H27" t="s" s="128">
        <v>623</v>
      </c>
      <c r="I27" t="s" s="128">
        <v>542</v>
      </c>
      <c r="J27" s="129">
        <v>1</v>
      </c>
      <c r="K27" s="130">
        <v>9360</v>
      </c>
      <c r="L27" s="130">
        <v>810</v>
      </c>
      <c r="M27" s="131" cm="1">
        <f t="array" ref="M27">_xlfn.IFERROR(K27+L27,50000)</f>
        <v>10170</v>
      </c>
      <c r="N27" s="132">
        <v>3</v>
      </c>
      <c r="O27" t="s" s="128">
        <v>624</v>
      </c>
      <c r="P27" t="s" s="128">
        <v>519</v>
      </c>
      <c r="Q27" t="s" s="128">
        <v>519</v>
      </c>
      <c r="R27" s="127">
        <v>160</v>
      </c>
      <c r="S27" s="127">
        <v>160</v>
      </c>
      <c r="T27" s="127">
        <v>12</v>
      </c>
      <c r="U27" s="127">
        <v>45</v>
      </c>
      <c r="V27" t="s" s="128">
        <v>524</v>
      </c>
      <c r="W27" s="127" cm="1">
        <f t="array" ref="W27">IF(J27&lt;2.1,1,0)+IF(M27&lt;'Budget - Budget'!$C$3,2,0)+IF(S27&lt;'Invités'!$B$91,0,1)+IF(U27&gt;'Invités'!$P$91,2,0)+IF(V27="Non",0,1)+IF(Q27="Oui",1,0)+IF(P27="Non",2,0)+IF(N27&gt;2,2,0)+IF(M27&gt;15000,-2,0)</f>
        <v>9</v>
      </c>
      <c r="X27" t="b" s="134">
        <v>0</v>
      </c>
    </row>
    <row r="28" ht="8.35" customHeight="1" hidden="1">
      <c r="B28" t="s" s="125">
        <v>625</v>
      </c>
      <c r="C28" t="b" s="126">
        <v>1</v>
      </c>
      <c r="D28" t="b" s="127">
        <v>1</v>
      </c>
      <c r="E28" t="b" s="127">
        <v>1</v>
      </c>
      <c r="F28" t="b" s="127">
        <v>0</v>
      </c>
      <c r="G28" t="s" s="128">
        <v>626</v>
      </c>
      <c r="H28" t="s" s="128">
        <v>627</v>
      </c>
      <c r="I28" t="s" s="128">
        <v>610</v>
      </c>
      <c r="J28" s="129">
        <v>2.5</v>
      </c>
      <c r="K28" s="130">
        <v>7877</v>
      </c>
      <c r="L28" s="130">
        <v>3106</v>
      </c>
      <c r="M28" s="131" cm="1">
        <f t="array" ref="M28">_xlfn.IFERROR(K28+L28,50000)</f>
        <v>10983</v>
      </c>
      <c r="N28" s="132">
        <v>3</v>
      </c>
      <c r="O28" t="s" s="135">
        <v>628</v>
      </c>
      <c r="P28" t="s" s="128">
        <v>519</v>
      </c>
      <c r="Q28" t="s" s="128">
        <v>519</v>
      </c>
      <c r="R28" s="127">
        <v>300</v>
      </c>
      <c r="S28" s="127">
        <v>300</v>
      </c>
      <c r="T28" s="127">
        <v>24</v>
      </c>
      <c r="U28" s="127">
        <v>60</v>
      </c>
      <c r="V28" t="s" s="128">
        <v>519</v>
      </c>
      <c r="W28" s="127" cm="1">
        <f t="array" ref="W28">IF(J28&lt;2.1,1,0)+IF(M28&lt;'Budget - Budget'!$C$3,2,0)+IF(S28&lt;'Invités'!$B$91,0,1)+IF(U28&gt;'Invités'!$P$91,2,0)+IF(V28="Non",0,1)+IF(Q28="Oui",1,0)+IF(P28="Non",2,0)+IF(N28&gt;2,2,0)+IF(M28&gt;15000,-2,0)</f>
        <v>7</v>
      </c>
      <c r="X28" t="b" s="134">
        <v>0</v>
      </c>
    </row>
    <row r="29" ht="8.35" customHeight="1" hidden="1">
      <c r="B29" t="s" s="125">
        <v>629</v>
      </c>
      <c r="C29" t="b" s="126">
        <v>1</v>
      </c>
      <c r="D29" t="b" s="127">
        <v>1</v>
      </c>
      <c r="E29" t="b" s="127">
        <v>1</v>
      </c>
      <c r="F29" t="b" s="127">
        <v>0</v>
      </c>
      <c r="G29" t="s" s="128">
        <v>630</v>
      </c>
      <c r="H29" t="s" s="128">
        <v>631</v>
      </c>
      <c r="I29" t="s" s="128">
        <v>632</v>
      </c>
      <c r="J29" s="129">
        <v>1.58</v>
      </c>
      <c r="K29" s="130">
        <v>5500</v>
      </c>
      <c r="L29" s="130">
        <v>5530</v>
      </c>
      <c r="M29" s="131" cm="1">
        <f t="array" ref="M29">_xlfn.IFERROR(K29+L29,50000)</f>
        <v>11030</v>
      </c>
      <c r="N29" s="132">
        <v>3</v>
      </c>
      <c r="O29" t="s" s="135">
        <v>633</v>
      </c>
      <c r="P29" t="s" s="128">
        <v>519</v>
      </c>
      <c r="Q29" t="s" s="128">
        <v>519</v>
      </c>
      <c r="R29" s="127">
        <v>120</v>
      </c>
      <c r="S29" s="127">
        <v>100</v>
      </c>
      <c r="T29" s="127">
        <v>25</v>
      </c>
      <c r="U29" s="127">
        <v>75</v>
      </c>
      <c r="V29" t="s" s="128">
        <v>519</v>
      </c>
      <c r="W29" s="127" cm="1">
        <f t="array" ref="W29">IF(J29&lt;2.1,1,0)+IF(M29&lt;'Budget - Budget'!$C$3,2,0)+IF(S29&lt;'Invités'!$B$91,0,1)+IF(U29&gt;'Invités'!$P$91,2,0)+IF(V29="Non",0,1)+IF(Q29="Oui",1,0)+IF(P29="Non",2,0)+IF(N29&gt;2,2,0)+IF(M29&gt;15000,-2,0)</f>
        <v>10</v>
      </c>
      <c r="X29" t="b" s="134">
        <v>0</v>
      </c>
    </row>
    <row r="30" ht="8.35" customHeight="1" hidden="1">
      <c r="B30" t="s" s="125">
        <v>634</v>
      </c>
      <c r="C30" t="b" s="126">
        <v>1</v>
      </c>
      <c r="D30" t="b" s="127">
        <v>1</v>
      </c>
      <c r="E30" t="b" s="127">
        <v>1</v>
      </c>
      <c r="F30" t="b" s="127">
        <v>0</v>
      </c>
      <c r="G30" t="s" s="128">
        <v>635</v>
      </c>
      <c r="H30" t="s" s="128">
        <v>636</v>
      </c>
      <c r="I30" t="s" s="128">
        <v>637</v>
      </c>
      <c r="J30" s="129">
        <v>1.17</v>
      </c>
      <c r="K30" s="130">
        <v>13500</v>
      </c>
      <c r="L30" s="130">
        <v>9120</v>
      </c>
      <c r="M30" s="131" cm="1">
        <f t="array" ref="M30">_xlfn.IFERROR(K30+L30,50000)</f>
        <v>22620</v>
      </c>
      <c r="N30" s="132">
        <v>3</v>
      </c>
      <c r="O30" t="s" s="133">
        <v>529</v>
      </c>
      <c r="P30" t="s" s="128">
        <v>519</v>
      </c>
      <c r="Q30" t="s" s="128">
        <v>519</v>
      </c>
      <c r="R30" s="127">
        <v>200</v>
      </c>
      <c r="S30" s="127">
        <v>200</v>
      </c>
      <c r="T30" s="127">
        <v>16</v>
      </c>
      <c r="U30" s="127">
        <v>55</v>
      </c>
      <c r="V30" t="s" s="128">
        <v>524</v>
      </c>
      <c r="W30" s="127" cm="1">
        <f t="array" ref="W30">IF(J30&lt;2.1,1,0)+IF(M30&lt;'Budget - Budget'!$C$3,2,0)+IF(S30&lt;'Invités'!$B$91,0,1)+IF(U30&gt;'Invités'!$P$91,2,0)+IF(V30="Non",0,1)+IF(Q30="Oui",1,0)+IF(P30="Non",2,0)+IF(N30&gt;2,2,0)+IF(M30&gt;15000,-2,0)</f>
        <v>5</v>
      </c>
      <c r="X30" t="b" s="134">
        <v>0</v>
      </c>
    </row>
    <row r="31" ht="8.35" customHeight="1" hidden="1">
      <c r="B31" t="s" s="125">
        <v>638</v>
      </c>
      <c r="C31" t="b" s="126">
        <v>1</v>
      </c>
      <c r="D31" t="b" s="127">
        <v>1</v>
      </c>
      <c r="E31" t="b" s="127">
        <v>1</v>
      </c>
      <c r="F31" t="b" s="127">
        <v>1</v>
      </c>
      <c r="G31" t="s" s="128">
        <v>639</v>
      </c>
      <c r="H31" t="s" s="128">
        <v>640</v>
      </c>
      <c r="I31" t="s" s="128">
        <v>517</v>
      </c>
      <c r="J31" s="129">
        <v>1.25</v>
      </c>
      <c r="K31" s="130">
        <v>9500</v>
      </c>
      <c r="L31" s="130">
        <v>0</v>
      </c>
      <c r="M31" s="131" cm="1">
        <f t="array" ref="M31">_xlfn.IFERROR(K31+L31,50000)</f>
        <v>9500</v>
      </c>
      <c r="N31" s="132">
        <v>3</v>
      </c>
      <c r="O31" t="s" s="145">
        <v>641</v>
      </c>
      <c r="P31" t="s" s="128">
        <v>519</v>
      </c>
      <c r="Q31" t="s" s="128">
        <v>519</v>
      </c>
      <c r="R31" s="127">
        <v>130</v>
      </c>
      <c r="S31" s="127">
        <v>130</v>
      </c>
      <c r="T31" s="127">
        <v>13</v>
      </c>
      <c r="U31" s="127">
        <v>36</v>
      </c>
      <c r="V31" t="s" s="128">
        <v>519</v>
      </c>
      <c r="W31" s="127" cm="1">
        <f t="array" ref="W31">IF(J31&lt;2.1,1,0)+IF(M31&lt;'Budget - Budget'!$C$3,2,0)+IF(S31&lt;'Invités'!$B$91,0,1)+IF(U31&gt;'Invités'!$P$91,2,0)+IF(V31="Non",0,1)+IF(Q31="Oui",1,0)+IF(P31="Non",2,0)+IF(N31&gt;2,2,0)+IF(M31&gt;15000,-2,0)</f>
        <v>8</v>
      </c>
      <c r="X31" t="b" s="134">
        <v>0</v>
      </c>
    </row>
    <row r="32" ht="8.35" customHeight="1" hidden="1">
      <c r="B32" t="s" s="125">
        <v>642</v>
      </c>
      <c r="C32" t="b" s="126">
        <v>1</v>
      </c>
      <c r="D32" t="b" s="127">
        <v>1</v>
      </c>
      <c r="E32" t="b" s="127">
        <v>0</v>
      </c>
      <c r="F32" s="136"/>
      <c r="G32" t="s" s="128">
        <v>643</v>
      </c>
      <c r="H32" t="s" s="128">
        <v>644</v>
      </c>
      <c r="I32" t="s" s="128">
        <v>517</v>
      </c>
      <c r="J32" s="129">
        <v>1.25</v>
      </c>
      <c r="K32" s="130">
        <v>22000</v>
      </c>
      <c r="L32" s="130">
        <v>0</v>
      </c>
      <c r="M32" s="131" cm="1">
        <f t="array" ref="M32">_xlfn.IFERROR(K32+L32,50000)</f>
        <v>22000</v>
      </c>
      <c r="N32" s="132">
        <v>3</v>
      </c>
      <c r="O32" t="s" s="135">
        <v>645</v>
      </c>
      <c r="P32" t="s" s="128">
        <v>519</v>
      </c>
      <c r="Q32" t="s" s="128">
        <v>519</v>
      </c>
      <c r="R32" s="127">
        <v>180</v>
      </c>
      <c r="S32" s="127">
        <v>160</v>
      </c>
      <c r="T32" s="127">
        <v>16</v>
      </c>
      <c r="U32" s="127">
        <v>56</v>
      </c>
      <c r="V32" t="s" s="128">
        <v>524</v>
      </c>
      <c r="W32" s="127" cm="1">
        <f t="array" ref="W32">IF(J32&lt;2.1,1,0)+IF(M32&lt;'Budget - Budget'!$C$3,2,0)+IF(S32&lt;'Invités'!$B$91,0,1)+IF(U32&gt;'Invités'!$P$91,2,0)+IF(V32="Non",0,1)+IF(Q32="Oui",1,0)+IF(P32="Non",2,0)+IF(N32&gt;2,2,0)+IF(M32&gt;15000,-2,0)</f>
        <v>5</v>
      </c>
      <c r="X32" t="b" s="134">
        <v>0</v>
      </c>
    </row>
    <row r="33" ht="8.35" customHeight="1" hidden="1">
      <c r="B33" t="s" s="125">
        <v>646</v>
      </c>
      <c r="C33" t="b" s="126">
        <v>1</v>
      </c>
      <c r="D33" t="b" s="127">
        <v>1</v>
      </c>
      <c r="E33" t="b" s="127">
        <v>0</v>
      </c>
      <c r="F33" s="136"/>
      <c r="G33" t="s" s="128">
        <v>647</v>
      </c>
      <c r="H33" t="s" s="128">
        <v>648</v>
      </c>
      <c r="I33" t="s" s="128">
        <v>649</v>
      </c>
      <c r="J33" s="129">
        <v>0.83</v>
      </c>
      <c r="K33" s="130" cm="1">
        <f t="array" ref="K33">65000</f>
        <v>65000</v>
      </c>
      <c r="L33" s="130">
        <v>0</v>
      </c>
      <c r="M33" s="131" cm="1">
        <f t="array" ref="M33">_xlfn.IFERROR(K33+L33,50000)</f>
        <v>65000</v>
      </c>
      <c r="N33" s="132">
        <v>3</v>
      </c>
      <c r="O33" t="s" s="141">
        <v>650</v>
      </c>
      <c r="P33" t="s" s="128">
        <v>519</v>
      </c>
      <c r="Q33" t="s" s="128">
        <v>519</v>
      </c>
      <c r="R33" s="127">
        <v>400</v>
      </c>
      <c r="S33" s="127">
        <v>400</v>
      </c>
      <c r="T33" s="127">
        <v>30</v>
      </c>
      <c r="U33" s="127">
        <v>60</v>
      </c>
      <c r="V33" t="s" s="128">
        <v>524</v>
      </c>
      <c r="W33" s="127" cm="1">
        <f t="array" ref="W33">IF(J33&lt;2.1,1,0)+IF(M33&lt;'Budget - Budget'!$C$3,2,0)+IF(S33&lt;'Invités'!$B$91,0,1)+IF(U33&gt;'Invités'!$P$91,2,0)+IF(V33="Non",0,1)+IF(Q33="Oui",1,0)+IF(P33="Non",2,0)+IF(N33&gt;2,2,0)+IF(M33&gt;15000,-2,0)</f>
        <v>5</v>
      </c>
      <c r="X33" t="b" s="134">
        <v>0</v>
      </c>
    </row>
    <row r="34" ht="8.35" customHeight="1" hidden="1">
      <c r="B34" t="s" s="125">
        <v>651</v>
      </c>
      <c r="C34" t="b" s="126">
        <v>1</v>
      </c>
      <c r="D34" t="b" s="127">
        <v>1</v>
      </c>
      <c r="E34" t="b" s="127">
        <v>0</v>
      </c>
      <c r="F34" s="136"/>
      <c r="G34" t="s" s="128">
        <v>652</v>
      </c>
      <c r="H34" t="s" s="128">
        <v>653</v>
      </c>
      <c r="I34" t="s" s="128">
        <v>561</v>
      </c>
      <c r="J34" s="129">
        <v>0.92</v>
      </c>
      <c r="K34" s="130" cm="1">
        <f t="array" ref="K34">65000</f>
        <v>65000</v>
      </c>
      <c r="L34" s="130">
        <v>0</v>
      </c>
      <c r="M34" s="131" cm="1">
        <f t="array" ref="M34">_xlfn.IFERROR(K34+L34,50000)</f>
        <v>65000</v>
      </c>
      <c r="N34" s="132">
        <v>3</v>
      </c>
      <c r="O34" t="s" s="141">
        <v>654</v>
      </c>
      <c r="P34" t="s" s="128">
        <v>519</v>
      </c>
      <c r="Q34" t="s" s="128">
        <v>519</v>
      </c>
      <c r="R34" s="127">
        <v>500</v>
      </c>
      <c r="S34" s="127">
        <v>500</v>
      </c>
      <c r="T34" s="127">
        <v>23</v>
      </c>
      <c r="U34" s="127">
        <v>55</v>
      </c>
      <c r="V34" t="s" s="128">
        <v>524</v>
      </c>
      <c r="W34" s="127" cm="1">
        <f t="array" ref="W34">IF(J34&lt;2.1,1,0)+IF(M34&lt;'Budget - Budget'!$C$3,2,0)+IF(S34&lt;'Invités'!$B$91,0,1)+IF(U34&gt;'Invités'!$P$91,2,0)+IF(V34="Non",0,1)+IF(Q34="Oui",1,0)+IF(P34="Non",2,0)+IF(N34&gt;2,2,0)+IF(M34&gt;15000,-2,0)</f>
        <v>5</v>
      </c>
      <c r="X34" t="b" s="134">
        <v>0</v>
      </c>
    </row>
    <row r="35" ht="8.35" customHeight="1" hidden="1">
      <c r="B35" t="s" s="125">
        <v>655</v>
      </c>
      <c r="C35" t="b" s="126">
        <v>1</v>
      </c>
      <c r="D35" t="b" s="127">
        <v>1</v>
      </c>
      <c r="E35" t="b" s="127">
        <v>1</v>
      </c>
      <c r="F35" t="b" s="127">
        <v>1</v>
      </c>
      <c r="G35" t="s" s="128">
        <v>656</v>
      </c>
      <c r="H35" t="s" s="128">
        <v>657</v>
      </c>
      <c r="I35" t="s" s="128">
        <v>542</v>
      </c>
      <c r="J35" s="129">
        <v>2</v>
      </c>
      <c r="K35" s="130">
        <v>4550</v>
      </c>
      <c r="L35" s="130">
        <v>4590</v>
      </c>
      <c r="M35" s="131" cm="1">
        <f t="array" ref="M35">_xlfn.IFERROR(K35+L35,50000)</f>
        <v>9140</v>
      </c>
      <c r="N35" s="132">
        <v>3</v>
      </c>
      <c r="O35" t="s" s="145">
        <v>658</v>
      </c>
      <c r="P35" t="s" s="128">
        <v>524</v>
      </c>
      <c r="Q35" t="s" s="128">
        <v>519</v>
      </c>
      <c r="R35" s="127">
        <v>130</v>
      </c>
      <c r="S35" s="127">
        <v>130</v>
      </c>
      <c r="T35" s="127">
        <v>14</v>
      </c>
      <c r="U35" s="127">
        <v>60</v>
      </c>
      <c r="V35" t="s" s="128">
        <v>519</v>
      </c>
      <c r="W35" s="127" cm="1">
        <f t="array" ref="W35">IF(J35&lt;2.1,1,0)+IF(M35&lt;'Budget - Budget'!$C$3,2,0)+IF(S35&lt;'Invités'!$B$91,0,1)+IF(U35&gt;'Invités'!$P$91,2,0)+IF(V35="Non",0,1)+IF(Q35="Oui",1,0)+IF(P35="Non",2,0)+IF(N35&gt;2,2,0)+IF(M35&gt;15000,-2,0)</f>
        <v>6</v>
      </c>
      <c r="X35" t="b" s="134">
        <v>0</v>
      </c>
    </row>
    <row r="36" ht="8.35" customHeight="1" hidden="1">
      <c r="B36" t="s" s="125">
        <v>659</v>
      </c>
      <c r="C36" t="b" s="126">
        <v>1</v>
      </c>
      <c r="D36" t="b" s="127">
        <v>1</v>
      </c>
      <c r="E36" t="b" s="127">
        <v>1</v>
      </c>
      <c r="F36" t="b" s="127">
        <v>0</v>
      </c>
      <c r="G36" t="s" s="128">
        <v>660</v>
      </c>
      <c r="H36" t="s" s="128">
        <v>661</v>
      </c>
      <c r="I36" t="s" s="128">
        <v>662</v>
      </c>
      <c r="J36" s="129">
        <v>2.17</v>
      </c>
      <c r="K36" s="130">
        <v>7500</v>
      </c>
      <c r="L36" s="130">
        <v>750</v>
      </c>
      <c r="M36" s="131" cm="1">
        <f t="array" ref="M36">_xlfn.IFERROR(K36+L36,50000)</f>
        <v>8250</v>
      </c>
      <c r="N36" s="132">
        <v>3</v>
      </c>
      <c r="O36" t="s" s="128">
        <v>538</v>
      </c>
      <c r="P36" t="s" s="128">
        <v>519</v>
      </c>
      <c r="Q36" t="s" s="128">
        <v>519</v>
      </c>
      <c r="R36" s="127">
        <v>120</v>
      </c>
      <c r="S36" s="127">
        <v>120</v>
      </c>
      <c r="T36" s="127">
        <v>10</v>
      </c>
      <c r="U36" s="127">
        <v>38</v>
      </c>
      <c r="V36" t="s" s="128">
        <v>519</v>
      </c>
      <c r="W36" s="127" cm="1">
        <f t="array" ref="W36">IF(J36&lt;2.1,1,0)+IF(M36&lt;'Budget - Budget'!$C$3,2,0)+IF(S36&lt;'Invités'!$B$91,0,1)+IF(U36&gt;'Invités'!$P$91,2,0)+IF(V36="Non",0,1)+IF(Q36="Oui",1,0)+IF(P36="Non",2,0)+IF(N36&gt;2,2,0)+IF(M36&gt;15000,-2,0)</f>
        <v>7</v>
      </c>
      <c r="X36" t="b" s="134">
        <v>0</v>
      </c>
    </row>
    <row r="37" ht="8.35" customHeight="1" hidden="1">
      <c r="B37" t="s" s="125">
        <v>663</v>
      </c>
      <c r="C37" t="b" s="126">
        <v>1</v>
      </c>
      <c r="D37" t="b" s="127">
        <v>1</v>
      </c>
      <c r="E37" t="b" s="127">
        <v>1</v>
      </c>
      <c r="F37" t="b" s="127">
        <v>0</v>
      </c>
      <c r="G37" t="s" s="128">
        <v>664</v>
      </c>
      <c r="H37" t="s" s="128">
        <v>665</v>
      </c>
      <c r="I37" t="s" s="128">
        <v>552</v>
      </c>
      <c r="J37" s="129">
        <v>1.33</v>
      </c>
      <c r="K37" s="130">
        <v>6000</v>
      </c>
      <c r="L37" s="130">
        <v>4000</v>
      </c>
      <c r="M37" s="131" cm="1">
        <f t="array" ref="M37">_xlfn.IFERROR(K37+L37,50000)</f>
        <v>10000</v>
      </c>
      <c r="N37" s="132">
        <v>4</v>
      </c>
      <c r="O37" t="s" s="128">
        <v>666</v>
      </c>
      <c r="P37" t="s" s="128">
        <v>519</v>
      </c>
      <c r="Q37" t="s" s="128">
        <v>519</v>
      </c>
      <c r="R37" s="127">
        <v>500</v>
      </c>
      <c r="S37" s="127">
        <v>500</v>
      </c>
      <c r="T37" s="127">
        <v>8</v>
      </c>
      <c r="U37" s="127">
        <v>30</v>
      </c>
      <c r="V37" t="s" s="128">
        <v>519</v>
      </c>
      <c r="W37" s="127" cm="1">
        <f t="array" ref="W37">IF(J37&lt;2.1,1,0)+IF(M37&lt;'Budget - Budget'!$C$3,2,0)+IF(S37&lt;'Invités'!$B$91,0,1)+IF(U37&gt;'Invités'!$P$91,2,0)+IF(V37="Non",0,1)+IF(Q37="Oui",1,0)+IF(P37="Non",2,0)+IF(N37&gt;2,2,0)+IF(M37&gt;15000,-2,0)</f>
        <v>8</v>
      </c>
      <c r="X37" t="b" s="134">
        <v>0</v>
      </c>
    </row>
    <row r="38" ht="8.35" customHeight="1" hidden="1">
      <c r="B38" t="s" s="125">
        <v>667</v>
      </c>
      <c r="C38" t="b" s="126">
        <v>1</v>
      </c>
      <c r="D38" t="b" s="127">
        <v>1</v>
      </c>
      <c r="E38" t="b" s="127">
        <v>1</v>
      </c>
      <c r="F38" t="b" s="127">
        <v>1</v>
      </c>
      <c r="G38" t="s" s="128">
        <v>668</v>
      </c>
      <c r="H38" t="s" s="128">
        <v>669</v>
      </c>
      <c r="I38" t="s" s="128">
        <v>561</v>
      </c>
      <c r="J38" s="129">
        <v>0.92</v>
      </c>
      <c r="K38" s="130">
        <v>6950</v>
      </c>
      <c r="L38" s="139">
        <v>5300</v>
      </c>
      <c r="M38" s="131" cm="1">
        <f t="array" ref="M38">_xlfn.IFERROR(K38+L38,50000)</f>
        <v>12250</v>
      </c>
      <c r="N38" s="132">
        <v>3</v>
      </c>
      <c r="O38" t="s" s="128">
        <v>518</v>
      </c>
      <c r="P38" t="s" s="128">
        <v>519</v>
      </c>
      <c r="Q38" t="s" s="128">
        <v>519</v>
      </c>
      <c r="R38" s="127">
        <v>250</v>
      </c>
      <c r="S38" s="127">
        <v>250</v>
      </c>
      <c r="T38" s="127">
        <v>19</v>
      </c>
      <c r="U38" s="127">
        <v>46</v>
      </c>
      <c r="V38" t="s" s="128">
        <v>519</v>
      </c>
      <c r="W38" s="127" cm="1">
        <f t="array" ref="W38">IF(J38&lt;2.1,1,0)+IF(M38&lt;'Budget - Budget'!$C$3,2,0)+IF(S38&lt;'Invités'!$B$91,0,1)+IF(U38&gt;'Invités'!$P$91,2,0)+IF(V38="Non",0,1)+IF(Q38="Oui",1,0)+IF(P38="Non",2,0)+IF(N38&gt;2,2,0)+IF(M38&gt;15000,-2,0)</f>
        <v>8</v>
      </c>
      <c r="X38" t="b" s="134">
        <v>0</v>
      </c>
    </row>
    <row r="39" ht="8.35" customHeight="1" hidden="1">
      <c r="B39" t="s" s="125">
        <v>670</v>
      </c>
      <c r="C39" t="b" s="126">
        <v>1</v>
      </c>
      <c r="D39" t="b" s="127">
        <v>1</v>
      </c>
      <c r="E39" t="b" s="127">
        <v>1</v>
      </c>
      <c r="F39" t="b" s="127">
        <v>0</v>
      </c>
      <c r="G39" t="s" s="128">
        <v>671</v>
      </c>
      <c r="H39" t="s" s="128">
        <v>672</v>
      </c>
      <c r="I39" t="s" s="128">
        <v>673</v>
      </c>
      <c r="J39" s="129">
        <v>3.5</v>
      </c>
      <c r="K39" s="130" cm="1">
        <f t="array" ref="K39">9900+4500</f>
        <v>14400</v>
      </c>
      <c r="L39" s="130">
        <v>0</v>
      </c>
      <c r="M39" s="131" cm="1">
        <f t="array" ref="M39">_xlfn.IFERROR(K39+L39,50000)</f>
        <v>14400</v>
      </c>
      <c r="N39" s="132">
        <v>4</v>
      </c>
      <c r="O39" t="s" s="128">
        <v>674</v>
      </c>
      <c r="P39" t="s" s="128">
        <v>519</v>
      </c>
      <c r="Q39" t="s" s="128">
        <v>524</v>
      </c>
      <c r="R39" s="127">
        <v>250</v>
      </c>
      <c r="S39" s="127">
        <v>150</v>
      </c>
      <c r="T39" s="127">
        <v>23</v>
      </c>
      <c r="U39" s="127">
        <v>42</v>
      </c>
      <c r="V39" t="s" s="128">
        <v>519</v>
      </c>
      <c r="W39" s="127" cm="1">
        <f t="array" ref="W39">IF(J39&lt;2.1,1,0)+IF(M39&lt;'Budget - Budget'!$C$3,2,0)+IF(S39&lt;'Invités'!$B$91,0,1)+IF(U39&gt;'Invités'!$P$91,2,0)+IF(V39="Non",0,1)+IF(Q39="Oui",1,0)+IF(P39="Non",2,0)+IF(N39&gt;2,2,0)+IF(M39&gt;15000,-2,0)</f>
        <v>8</v>
      </c>
      <c r="X39" t="b" s="134">
        <v>0</v>
      </c>
    </row>
    <row r="40" ht="8.35" customHeight="1" hidden="1">
      <c r="B40" t="s" s="125">
        <v>675</v>
      </c>
      <c r="C40" t="b" s="126">
        <v>1</v>
      </c>
      <c r="D40" t="b" s="127">
        <v>1</v>
      </c>
      <c r="E40" t="b" s="127">
        <v>0</v>
      </c>
      <c r="F40" s="136"/>
      <c r="G40" t="s" s="128">
        <v>676</v>
      </c>
      <c r="H40" t="s" s="128">
        <v>677</v>
      </c>
      <c r="I40" t="s" s="128">
        <v>678</v>
      </c>
      <c r="J40" s="129">
        <v>2.67</v>
      </c>
      <c r="K40" s="130" cm="1">
        <f t="array" ref="K40">12750+5000</f>
        <v>17750</v>
      </c>
      <c r="L40" s="130">
        <v>0</v>
      </c>
      <c r="M40" s="131" cm="1">
        <f t="array" ref="M40">_xlfn.IFERROR(K40+L40,50000)</f>
        <v>17750</v>
      </c>
      <c r="N40" s="132">
        <v>3</v>
      </c>
      <c r="O40" t="s" s="128">
        <v>679</v>
      </c>
      <c r="P40" t="s" s="128">
        <v>519</v>
      </c>
      <c r="Q40" t="s" s="128">
        <v>519</v>
      </c>
      <c r="R40" s="127">
        <v>300</v>
      </c>
      <c r="S40" s="127">
        <v>200</v>
      </c>
      <c r="T40" s="127">
        <v>25</v>
      </c>
      <c r="U40" s="127">
        <v>62</v>
      </c>
      <c r="V40" t="s" s="128">
        <v>524</v>
      </c>
      <c r="W40" s="127" cm="1">
        <f t="array" ref="W40">IF(J40&lt;2.1,1,0)+IF(M40&lt;'Budget - Budget'!$C$3,2,0)+IF(S40&lt;'Invités'!$B$91,0,1)+IF(U40&gt;'Invités'!$P$91,2,0)+IF(V40="Non",0,1)+IF(Q40="Oui",1,0)+IF(P40="Non",2,0)+IF(N40&gt;2,2,0)+IF(M40&gt;15000,-2,0)</f>
        <v>4</v>
      </c>
      <c r="X40" t="b" s="134">
        <v>0</v>
      </c>
    </row>
    <row r="41" ht="8.35" customHeight="1" hidden="1">
      <c r="B41" t="s" s="125">
        <v>680</v>
      </c>
      <c r="C41" t="b" s="126">
        <v>1</v>
      </c>
      <c r="D41" t="b" s="127">
        <v>1</v>
      </c>
      <c r="E41" t="b" s="127">
        <v>0</v>
      </c>
      <c r="F41" s="136"/>
      <c r="G41" t="s" s="128">
        <v>681</v>
      </c>
      <c r="H41" t="s" s="128">
        <v>682</v>
      </c>
      <c r="I41" t="s" s="128">
        <v>573</v>
      </c>
      <c r="J41" s="129">
        <v>1.5</v>
      </c>
      <c r="K41" s="130">
        <v>22500</v>
      </c>
      <c r="L41" s="130">
        <v>0</v>
      </c>
      <c r="M41" s="131" cm="1">
        <f t="array" ref="M41">_xlfn.IFERROR(K41+L41,50000)</f>
        <v>22500</v>
      </c>
      <c r="N41" s="132">
        <v>3</v>
      </c>
      <c r="O41" t="s" s="135">
        <v>590</v>
      </c>
      <c r="P41" t="s" s="128">
        <v>519</v>
      </c>
      <c r="Q41" t="s" s="128">
        <v>519</v>
      </c>
      <c r="R41" s="127">
        <v>200</v>
      </c>
      <c r="S41" s="127">
        <v>200</v>
      </c>
      <c r="T41" s="127">
        <v>18</v>
      </c>
      <c r="U41" s="127">
        <v>65</v>
      </c>
      <c r="V41" t="s" s="128">
        <v>519</v>
      </c>
      <c r="W41" s="127" cm="1">
        <f t="array" ref="W41">IF(J41&lt;2.1,1,0)+IF(M41&lt;'Budget - Budget'!$C$3,2,0)+IF(S41&lt;'Invités'!$B$91,0,1)+IF(U41&gt;'Invités'!$P$91,2,0)+IF(V41="Non",0,1)+IF(Q41="Oui",1,0)+IF(P41="Non",2,0)+IF(N41&gt;2,2,0)+IF(M41&gt;15000,-2,0)</f>
        <v>4</v>
      </c>
      <c r="X41" t="b" s="134">
        <v>0</v>
      </c>
    </row>
    <row r="42" ht="8.35" customHeight="1" hidden="1">
      <c r="B42" t="s" s="125">
        <v>683</v>
      </c>
      <c r="C42" t="b" s="126">
        <v>1</v>
      </c>
      <c r="D42" t="b" s="127">
        <v>1</v>
      </c>
      <c r="E42" t="b" s="127">
        <v>1</v>
      </c>
      <c r="F42" s="136"/>
      <c r="G42" t="s" s="128">
        <v>684</v>
      </c>
      <c r="H42" t="s" s="128">
        <v>685</v>
      </c>
      <c r="I42" t="s" s="128">
        <v>517</v>
      </c>
      <c r="J42" s="129">
        <v>1.25</v>
      </c>
      <c r="K42" s="130">
        <v>11500</v>
      </c>
      <c r="L42" s="130">
        <v>0</v>
      </c>
      <c r="M42" s="131" cm="1">
        <f t="array" ref="M42">_xlfn.IFERROR(K42+L42,50000)</f>
        <v>11500</v>
      </c>
      <c r="N42" s="132">
        <v>3</v>
      </c>
      <c r="O42" t="s" s="145">
        <v>641</v>
      </c>
      <c r="P42" t="s" s="128">
        <v>519</v>
      </c>
      <c r="Q42" t="s" s="128">
        <v>519</v>
      </c>
      <c r="R42" s="127">
        <v>250</v>
      </c>
      <c r="S42" s="127">
        <v>250</v>
      </c>
      <c r="T42" s="127">
        <v>7</v>
      </c>
      <c r="U42" s="127">
        <v>18</v>
      </c>
      <c r="V42" t="s" s="128">
        <v>519</v>
      </c>
      <c r="W42" s="127" cm="1">
        <f t="array" ref="W42">IF(J42&lt;2.1,1,0)+IF(M42&lt;'Budget - Budget'!$C$3,2,0)+IF(S42&lt;'Invités'!$B$91,0,1)+IF(U42&gt;'Invités'!$P$91,2,0)+IF(V42="Non",0,1)+IF(Q42="Oui",1,0)+IF(P42="Non",2,0)+IF(N42&gt;2,2,0)+IF(M42&gt;15000,-2,0)</f>
        <v>8</v>
      </c>
      <c r="X42" t="b" s="134">
        <v>0</v>
      </c>
    </row>
    <row r="43" ht="8.35" customHeight="1" hidden="1">
      <c r="B43" t="s" s="125">
        <v>686</v>
      </c>
      <c r="C43" t="b" s="126">
        <v>1</v>
      </c>
      <c r="D43" t="b" s="127">
        <v>1</v>
      </c>
      <c r="E43" t="b" s="127">
        <v>1</v>
      </c>
      <c r="F43" s="136"/>
      <c r="G43" t="s" s="128">
        <v>687</v>
      </c>
      <c r="H43" t="s" s="128">
        <v>688</v>
      </c>
      <c r="I43" t="s" s="128">
        <v>610</v>
      </c>
      <c r="J43" s="129">
        <v>2.5</v>
      </c>
      <c r="K43" s="130">
        <v>13800</v>
      </c>
      <c r="L43" s="130">
        <v>0</v>
      </c>
      <c r="M43" s="131" cm="1">
        <f t="array" ref="M43">_xlfn.IFERROR(K43+L43,50000)</f>
        <v>13800</v>
      </c>
      <c r="N43" s="132">
        <v>4</v>
      </c>
      <c r="O43" t="s" s="128">
        <v>689</v>
      </c>
      <c r="P43" t="s" s="128">
        <v>519</v>
      </c>
      <c r="Q43" t="s" s="128">
        <v>519</v>
      </c>
      <c r="R43" s="127">
        <v>200</v>
      </c>
      <c r="S43" s="127">
        <v>200</v>
      </c>
      <c r="T43" s="127">
        <v>9</v>
      </c>
      <c r="U43" s="127">
        <v>28</v>
      </c>
      <c r="V43" t="s" s="128">
        <v>524</v>
      </c>
      <c r="W43" s="127" cm="1">
        <f t="array" ref="W43">IF(J43&lt;2.1,1,0)+IF(M43&lt;'Budget - Budget'!$C$3,2,0)+IF(S43&lt;'Invités'!$B$91,0,1)+IF(U43&gt;'Invités'!$P$91,2,0)+IF(V43="Non",0,1)+IF(Q43="Oui",1,0)+IF(P43="Non",2,0)+IF(N43&gt;2,2,0)+IF(M43&gt;15000,-2,0)</f>
        <v>8</v>
      </c>
      <c r="X43" t="b" s="134">
        <v>0</v>
      </c>
    </row>
    <row r="44" ht="8.35" customHeight="1" hidden="1">
      <c r="B44" t="s" s="125">
        <v>690</v>
      </c>
      <c r="C44" t="b" s="126">
        <v>1</v>
      </c>
      <c r="D44" t="b" s="127">
        <v>1</v>
      </c>
      <c r="E44" t="b" s="127">
        <v>0</v>
      </c>
      <c r="F44" s="136"/>
      <c r="G44" t="s" s="128">
        <v>691</v>
      </c>
      <c r="H44" t="s" s="128">
        <v>692</v>
      </c>
      <c r="I44" t="s" s="128">
        <v>649</v>
      </c>
      <c r="J44" s="129">
        <v>0.83</v>
      </c>
      <c r="K44" s="130" cm="1">
        <f t="array" ref="K44">65000</f>
        <v>65000</v>
      </c>
      <c r="L44" s="130">
        <v>0</v>
      </c>
      <c r="M44" s="131" cm="1">
        <f t="array" ref="M44">_xlfn.IFERROR(K44+L44,50000)</f>
        <v>65000</v>
      </c>
      <c r="N44" s="132">
        <v>3</v>
      </c>
      <c r="O44" t="s" s="145">
        <v>650</v>
      </c>
      <c r="P44" t="s" s="128">
        <v>519</v>
      </c>
      <c r="Q44" t="s" s="128">
        <v>519</v>
      </c>
      <c r="R44" s="127">
        <v>250</v>
      </c>
      <c r="S44" s="127">
        <v>250</v>
      </c>
      <c r="T44" s="127">
        <v>37</v>
      </c>
      <c r="U44" s="127">
        <v>74</v>
      </c>
      <c r="V44" t="s" s="128">
        <v>519</v>
      </c>
      <c r="W44" s="127" cm="1">
        <f t="array" ref="W44">IF(J44&lt;2.1,1,0)+IF(M44&lt;'Budget - Budget'!$C$3,2,0)+IF(S44&lt;'Invités'!$B$91,0,1)+IF(U44&gt;'Invités'!$P$91,2,0)+IF(V44="Non",0,1)+IF(Q44="Oui",1,0)+IF(P44="Non",2,0)+IF(N44&gt;2,2,0)+IF(M44&gt;15000,-2,0)</f>
        <v>4</v>
      </c>
      <c r="X44" t="b" s="134">
        <v>0</v>
      </c>
    </row>
    <row r="45" ht="8.35" customHeight="1" hidden="1">
      <c r="B45" t="s" s="125">
        <v>693</v>
      </c>
      <c r="C45" t="b" s="126">
        <v>1</v>
      </c>
      <c r="D45" t="b" s="127">
        <v>1</v>
      </c>
      <c r="E45" t="b" s="127">
        <v>0</v>
      </c>
      <c r="F45" s="136"/>
      <c r="G45" t="s" s="128">
        <v>694</v>
      </c>
      <c r="H45" t="s" s="128">
        <v>653</v>
      </c>
      <c r="I45" t="s" s="128">
        <v>561</v>
      </c>
      <c r="J45" s="129">
        <v>0.92</v>
      </c>
      <c r="K45" s="130" cm="1">
        <f t="array" ref="K45">65000</f>
        <v>65000</v>
      </c>
      <c r="L45" s="130">
        <v>0</v>
      </c>
      <c r="M45" s="131" cm="1">
        <f t="array" ref="M45">_xlfn.IFERROR(K45+L45,50000)</f>
        <v>65000</v>
      </c>
      <c r="N45" s="132">
        <v>3</v>
      </c>
      <c r="O45" t="s" s="141">
        <v>654</v>
      </c>
      <c r="P45" t="s" s="128">
        <v>519</v>
      </c>
      <c r="Q45" t="s" s="128">
        <v>519</v>
      </c>
      <c r="R45" s="127">
        <v>120</v>
      </c>
      <c r="S45" s="127">
        <v>120</v>
      </c>
      <c r="T45" s="127">
        <v>23</v>
      </c>
      <c r="U45" s="127">
        <v>55</v>
      </c>
      <c r="V45" t="s" s="128">
        <v>524</v>
      </c>
      <c r="W45" s="127" cm="1">
        <f t="array" ref="W45">IF(J45&lt;2.1,1,0)+IF(M45&lt;'Budget - Budget'!$C$3,2,0)+IF(S45&lt;'Invités'!$B$91,0,1)+IF(U45&gt;'Invités'!$P$91,2,0)+IF(V45="Non",0,1)+IF(Q45="Oui",1,0)+IF(P45="Non",2,0)+IF(N45&gt;2,2,0)+IF(M45&gt;15000,-2,0)</f>
        <v>5</v>
      </c>
      <c r="X45" t="b" s="134">
        <v>0</v>
      </c>
    </row>
    <row r="46" ht="8.35" customHeight="1" hidden="1">
      <c r="B46" t="s" s="125">
        <v>695</v>
      </c>
      <c r="C46" t="b" s="126">
        <v>1</v>
      </c>
      <c r="D46" t="b" s="127">
        <v>1</v>
      </c>
      <c r="E46" t="b" s="127">
        <v>0</v>
      </c>
      <c r="F46" s="136"/>
      <c r="G46" t="s" s="128">
        <v>696</v>
      </c>
      <c r="H46" t="s" s="128">
        <v>697</v>
      </c>
      <c r="I46" t="s" s="128">
        <v>517</v>
      </c>
      <c r="J46" s="129">
        <v>1.25</v>
      </c>
      <c r="K46" s="130" cm="1">
        <f t="array" ref="K46">6615+1700</f>
        <v>8315</v>
      </c>
      <c r="L46" s="130">
        <v>1370</v>
      </c>
      <c r="M46" s="131" cm="1">
        <f t="array" ref="M46">_xlfn.IFERROR(K46+L46,50000)</f>
        <v>9685</v>
      </c>
      <c r="N46" s="132">
        <v>2</v>
      </c>
      <c r="O46" t="s" s="135">
        <v>698</v>
      </c>
      <c r="P46" t="s" s="128">
        <v>524</v>
      </c>
      <c r="Q46" t="s" s="128">
        <v>519</v>
      </c>
      <c r="R46" s="127">
        <v>150</v>
      </c>
      <c r="S46" s="127">
        <v>150</v>
      </c>
      <c r="T46" s="127">
        <v>9</v>
      </c>
      <c r="U46" s="127">
        <v>22</v>
      </c>
      <c r="V46" t="s" s="128">
        <v>524</v>
      </c>
      <c r="W46" s="127" cm="1">
        <f t="array" ref="W46">IF(J46&lt;2.1,1,0)+IF(M46&lt;'Budget - Budget'!$C$3,2,0)+IF(S46&lt;'Invités'!$B$91,0,1)+IF(U46&gt;'Invités'!$P$91,2,0)+IF(V46="Non",0,1)+IF(Q46="Oui",1,0)+IF(P46="Non",2,0)+IF(N46&gt;2,2,0)+IF(M46&gt;15000,-2,0)</f>
        <v>5</v>
      </c>
      <c r="X46" t="b" s="134">
        <v>0</v>
      </c>
    </row>
    <row r="47" ht="8.35" customHeight="1" hidden="1">
      <c r="B47" t="s" s="125">
        <v>699</v>
      </c>
      <c r="C47" t="b" s="126">
        <v>1</v>
      </c>
      <c r="D47" t="b" s="127">
        <v>1</v>
      </c>
      <c r="E47" t="b" s="127">
        <v>0</v>
      </c>
      <c r="F47" s="136"/>
      <c r="G47" t="s" s="128">
        <v>700</v>
      </c>
      <c r="H47" t="s" s="128">
        <v>701</v>
      </c>
      <c r="I47" t="s" s="128">
        <v>522</v>
      </c>
      <c r="J47" s="129">
        <v>1.83</v>
      </c>
      <c r="K47" s="130">
        <v>22000</v>
      </c>
      <c r="L47" s="130">
        <v>0</v>
      </c>
      <c r="M47" s="131" cm="1">
        <f t="array" ref="M47">_xlfn.IFERROR(K47+L47,50000)</f>
        <v>22000</v>
      </c>
      <c r="N47" s="132">
        <v>3</v>
      </c>
      <c r="O47" t="s" s="128">
        <v>557</v>
      </c>
      <c r="P47" s="136"/>
      <c r="Q47" s="136"/>
      <c r="R47" s="127">
        <v>700</v>
      </c>
      <c r="S47" s="127">
        <v>350</v>
      </c>
      <c r="T47" s="127">
        <v>25</v>
      </c>
      <c r="U47" s="127">
        <v>76</v>
      </c>
      <c r="V47" t="s" s="128">
        <v>524</v>
      </c>
      <c r="W47" s="127" cm="1">
        <f t="array" ref="W47">IF(J47&lt;2.1,1,0)+IF(M47&lt;'Budget - Budget'!$C$3,2,0)+IF(S47&lt;'Invités'!$B$91,0,1)+IF(U47&gt;'Invités'!$P$91,2,0)+IF(V47="Non",0,1)+IF(Q47="Oui",1,0)+IF(P47="Non",2,0)+IF(N47&gt;2,2,0)+IF(M47&gt;15000,-2,0)</f>
        <v>5</v>
      </c>
      <c r="X47" t="b" s="134">
        <v>0</v>
      </c>
    </row>
    <row r="48" ht="8.35" customHeight="1" hidden="1">
      <c r="B48" t="s" s="146">
        <v>702</v>
      </c>
      <c r="C48" t="b" s="147">
        <v>1</v>
      </c>
      <c r="D48" t="b" s="148">
        <v>1</v>
      </c>
      <c r="E48" t="b" s="127">
        <v>1</v>
      </c>
      <c r="F48" t="b" s="127">
        <v>1</v>
      </c>
      <c r="G48" t="s" s="141">
        <v>703</v>
      </c>
      <c r="H48" t="s" s="141">
        <v>704</v>
      </c>
      <c r="I48" t="s" s="141">
        <v>528</v>
      </c>
      <c r="J48" s="149">
        <v>3</v>
      </c>
      <c r="K48" s="130">
        <v>10000</v>
      </c>
      <c r="L48" s="130">
        <v>4320</v>
      </c>
      <c r="M48" s="131" cm="1">
        <f t="array" ref="M48">_xlfn.IFERROR(K48+L48,50000)</f>
        <v>14320</v>
      </c>
      <c r="N48" s="132">
        <v>3</v>
      </c>
      <c r="O48" t="s" s="141">
        <v>529</v>
      </c>
      <c r="P48" t="s" s="128">
        <v>519</v>
      </c>
      <c r="Q48" t="s" s="128">
        <v>519</v>
      </c>
      <c r="R48" s="148">
        <v>800</v>
      </c>
      <c r="S48" s="148">
        <v>800</v>
      </c>
      <c r="T48" s="148">
        <v>8</v>
      </c>
      <c r="U48" s="148">
        <v>20</v>
      </c>
      <c r="V48" t="s" s="141">
        <v>519</v>
      </c>
      <c r="W48" s="127" cm="1">
        <f t="array" ref="W48">IF(J48&lt;2.1,1,0)+IF(M48&lt;'Budget - Budget'!$C$3,2,0)+IF(S48&lt;'Invités'!$B$91,0,1)+IF(U48&gt;'Invités'!$P$91,2,0)+IF(V48="Non",0,1)+IF(Q48="Oui",1,0)+IF(P48="Non",2,0)+IF(N48&gt;2,2,0)+IF(M48&gt;15000,-2,0)</f>
        <v>7</v>
      </c>
      <c r="X48" t="b" s="134">
        <v>0</v>
      </c>
    </row>
    <row r="49" ht="8.35" customHeight="1" hidden="1">
      <c r="B49" t="s" s="125">
        <v>705</v>
      </c>
      <c r="C49" t="b" s="126">
        <v>1</v>
      </c>
      <c r="D49" t="b" s="127">
        <v>1</v>
      </c>
      <c r="E49" t="b" s="127">
        <v>0</v>
      </c>
      <c r="F49" s="136"/>
      <c r="G49" t="s" s="128">
        <v>706</v>
      </c>
      <c r="H49" t="s" s="128">
        <v>707</v>
      </c>
      <c r="I49" t="s" s="128">
        <v>565</v>
      </c>
      <c r="J49" s="129">
        <v>1.67</v>
      </c>
      <c r="K49" s="130">
        <v>6500</v>
      </c>
      <c r="L49" s="130">
        <v>1980</v>
      </c>
      <c r="M49" s="131" cm="1">
        <f t="array" ref="M49">_xlfn.IFERROR(K49+L49,50000)</f>
        <v>8480</v>
      </c>
      <c r="N49" s="132">
        <v>3</v>
      </c>
      <c r="O49" t="s" s="128">
        <v>708</v>
      </c>
      <c r="P49" t="s" s="128">
        <v>524</v>
      </c>
      <c r="Q49" t="s" s="128">
        <v>519</v>
      </c>
      <c r="R49" s="127">
        <v>130</v>
      </c>
      <c r="S49" s="127">
        <v>130</v>
      </c>
      <c r="T49" s="127">
        <v>8</v>
      </c>
      <c r="U49" s="127">
        <v>25</v>
      </c>
      <c r="V49" t="s" s="128">
        <v>519</v>
      </c>
      <c r="W49" s="127" cm="1">
        <f t="array" ref="W49">IF(J49&lt;2.1,1,0)+IF(M49&lt;'Budget - Budget'!$C$3,2,0)+IF(S49&lt;'Invités'!$B$91,0,1)+IF(U49&gt;'Invités'!$P$91,2,0)+IF(V49="Non",0,1)+IF(Q49="Oui",1,0)+IF(P49="Non",2,0)+IF(N49&gt;2,2,0)+IF(M49&gt;15000,-2,0)</f>
        <v>6</v>
      </c>
      <c r="X49" t="b" s="134">
        <v>0</v>
      </c>
    </row>
    <row r="50" ht="8.35" customHeight="1" hidden="1">
      <c r="B50" t="s" s="125">
        <v>709</v>
      </c>
      <c r="C50" t="b" s="126">
        <v>1</v>
      </c>
      <c r="D50" t="b" s="127">
        <v>1</v>
      </c>
      <c r="E50" t="b" s="127">
        <v>0</v>
      </c>
      <c r="F50" s="136"/>
      <c r="G50" t="s" s="128">
        <v>710</v>
      </c>
      <c r="H50" t="s" s="128">
        <v>711</v>
      </c>
      <c r="I50" t="s" s="128">
        <v>712</v>
      </c>
      <c r="J50" s="129">
        <v>0.58</v>
      </c>
      <c r="K50" s="130">
        <v>18850</v>
      </c>
      <c r="L50" s="130">
        <v>0</v>
      </c>
      <c r="M50" s="131" cm="1">
        <f t="array" ref="M50">_xlfn.IFERROR(K50+L50,50000)</f>
        <v>18850</v>
      </c>
      <c r="N50" s="132">
        <v>1</v>
      </c>
      <c r="O50" s="150">
        <v>1</v>
      </c>
      <c r="P50" t="s" s="128">
        <v>519</v>
      </c>
      <c r="Q50" t="s" s="128">
        <v>519</v>
      </c>
      <c r="R50" s="127">
        <v>250</v>
      </c>
      <c r="S50" s="127">
        <v>250</v>
      </c>
      <c r="T50" s="127">
        <v>178</v>
      </c>
      <c r="U50" s="127">
        <v>300</v>
      </c>
      <c r="V50" t="s" s="128">
        <v>524</v>
      </c>
      <c r="W50" s="127" cm="1">
        <f t="array" ref="W50">IF(J50&lt;2.1,1,0)+IF(M50&lt;'Budget - Budget'!$C$3,2,0)+IF(S50&lt;'Invités'!$B$91,0,1)+IF(U50&gt;'Invités'!$P$91,2,0)+IF(V50="Non",0,1)+IF(Q50="Oui",1,0)+IF(P50="Non",2,0)+IF(N50&gt;2,2,0)+IF(M50&gt;15000,-2,0)</f>
        <v>5</v>
      </c>
      <c r="X50" t="b" s="134">
        <v>0</v>
      </c>
    </row>
    <row r="51" ht="8.35" customHeight="1" hidden="1">
      <c r="B51" t="s" s="125">
        <v>713</v>
      </c>
      <c r="C51" t="b" s="126">
        <v>1</v>
      </c>
      <c r="D51" t="b" s="127">
        <v>1</v>
      </c>
      <c r="E51" t="b" s="127">
        <v>0</v>
      </c>
      <c r="F51" s="136"/>
      <c r="G51" t="s" s="128">
        <v>714</v>
      </c>
      <c r="H51" t="s" s="128">
        <v>715</v>
      </c>
      <c r="I51" t="s" s="128">
        <v>517</v>
      </c>
      <c r="J51" s="129">
        <v>1.25</v>
      </c>
      <c r="K51" s="130">
        <v>19900</v>
      </c>
      <c r="L51" s="130">
        <v>0</v>
      </c>
      <c r="M51" s="131" cm="1">
        <f t="array" ref="M51">_xlfn.IFERROR(K51+L52,50000)</f>
        <v>19900</v>
      </c>
      <c r="N51" s="132">
        <v>1</v>
      </c>
      <c r="O51" s="150">
        <v>1</v>
      </c>
      <c r="P51" t="s" s="128">
        <v>519</v>
      </c>
      <c r="Q51" t="s" s="128">
        <v>519</v>
      </c>
      <c r="R51" s="127">
        <v>250</v>
      </c>
      <c r="S51" s="127">
        <v>250</v>
      </c>
      <c r="T51" s="127">
        <v>35</v>
      </c>
      <c r="U51" s="127">
        <v>88</v>
      </c>
      <c r="V51" t="s" s="128">
        <v>524</v>
      </c>
      <c r="W51" s="127" cm="1">
        <f t="array" ref="W51">IF(J51&lt;2.1,1,0)+IF(M51&lt;'Budget - Budget'!$C$3,2,0)+IF(S51&lt;'Invités'!$B$91,0,1)+IF(U51&gt;'Invités'!$P$91,2,0)+IF(V51="Non",0,1)+IF(Q51="Oui",1,0)+IF(P51="Non",2,0)+IF(N51&gt;2,2,0)+IF(M51&gt;15000,-2,0)</f>
        <v>5</v>
      </c>
      <c r="X51" t="b" s="134">
        <v>0</v>
      </c>
    </row>
    <row r="52" ht="8.35" customHeight="1" hidden="1">
      <c r="B52" t="s" s="125">
        <v>716</v>
      </c>
      <c r="C52" t="b" s="126">
        <v>1</v>
      </c>
      <c r="D52" t="b" s="127">
        <v>1</v>
      </c>
      <c r="E52" t="b" s="127">
        <v>0</v>
      </c>
      <c r="F52" s="136"/>
      <c r="G52" t="s" s="128">
        <v>717</v>
      </c>
      <c r="H52" t="s" s="128">
        <v>718</v>
      </c>
      <c r="I52" t="s" s="128">
        <v>528</v>
      </c>
      <c r="J52" s="129">
        <v>2</v>
      </c>
      <c r="K52" s="130">
        <v>20000</v>
      </c>
      <c r="L52" s="130">
        <v>0</v>
      </c>
      <c r="M52" s="131" cm="1">
        <f t="array" ref="M52">_xlfn.IFERROR(K52+L52,50000)</f>
        <v>20000</v>
      </c>
      <c r="N52" s="132">
        <v>2</v>
      </c>
      <c r="O52" t="s" s="151">
        <v>719</v>
      </c>
      <c r="P52" t="s" s="128">
        <v>519</v>
      </c>
      <c r="Q52" t="s" s="128">
        <v>519</v>
      </c>
      <c r="R52" s="127">
        <v>300</v>
      </c>
      <c r="S52" s="127">
        <v>300</v>
      </c>
      <c r="T52" s="127">
        <v>16</v>
      </c>
      <c r="U52" s="127">
        <v>52</v>
      </c>
      <c r="V52" t="s" s="128">
        <v>524</v>
      </c>
      <c r="W52" s="127" cm="1">
        <f t="array" ref="W52">IF(J52&lt;2.1,1,0)+IF(M52&lt;'Budget - Budget'!$C$3,2,0)+IF(S52&lt;'Invités'!$B$91,0,1)+IF(U52&gt;'Invités'!$P$91,2,0)+IF(V52="Non",0,1)+IF(Q52="Oui",1,0)+IF(P52="Non",2,0)+IF(N52&gt;2,2,0)+IF(M52&gt;15000,-2,0)</f>
        <v>3</v>
      </c>
      <c r="X52" t="b" s="134">
        <v>0</v>
      </c>
    </row>
    <row r="53" ht="8.35" customHeight="1" hidden="1">
      <c r="B53" t="s" s="125">
        <v>720</v>
      </c>
      <c r="C53" t="b" s="126">
        <v>1</v>
      </c>
      <c r="D53" t="b" s="127">
        <v>1</v>
      </c>
      <c r="E53" t="b" s="127">
        <v>0</v>
      </c>
      <c r="F53" s="136"/>
      <c r="G53" t="s" s="128">
        <v>721</v>
      </c>
      <c r="H53" t="s" s="128">
        <v>722</v>
      </c>
      <c r="I53" t="s" s="128">
        <v>552</v>
      </c>
      <c r="J53" s="129">
        <v>1.33</v>
      </c>
      <c r="K53" s="130">
        <v>10000</v>
      </c>
      <c r="L53" s="130">
        <v>9000</v>
      </c>
      <c r="M53" s="131" cm="1">
        <f t="array" ref="M53">_xlfn.IFERROR(K53+L53,50000)</f>
        <v>19000</v>
      </c>
      <c r="N53" s="132">
        <v>3</v>
      </c>
      <c r="O53" t="s" s="128">
        <v>723</v>
      </c>
      <c r="P53" t="s" s="128">
        <v>519</v>
      </c>
      <c r="Q53" t="s" s="128">
        <v>519</v>
      </c>
      <c r="R53" s="127">
        <v>300</v>
      </c>
      <c r="S53" s="127">
        <v>300</v>
      </c>
      <c r="T53" s="127">
        <v>15</v>
      </c>
      <c r="U53" s="127">
        <v>49</v>
      </c>
      <c r="V53" t="s" s="128">
        <v>524</v>
      </c>
      <c r="W53" s="127" cm="1">
        <f t="array" ref="W53">IF(J53&lt;2.1,1,0)+IF(M53&lt;'Budget - Budget'!$C$3,2,0)+IF(S53&lt;'Invités'!$B$91,0,1)+IF(U53&gt;'Invités'!$P$91,2,0)+IF(V53="Non",0,1)+IF(Q53="Oui",1,0)+IF(P53="Non",2,0)+IF(N53&gt;2,2,0)+IF(M53&gt;15000,-2,0)</f>
        <v>5</v>
      </c>
      <c r="X53" t="b" s="134">
        <v>0</v>
      </c>
    </row>
    <row r="54" ht="8.35" customHeight="1" hidden="1">
      <c r="B54" t="s" s="125">
        <v>724</v>
      </c>
      <c r="C54" t="b" s="126">
        <v>1</v>
      </c>
      <c r="D54" t="b" s="127">
        <v>1</v>
      </c>
      <c r="E54" t="b" s="127">
        <v>0</v>
      </c>
      <c r="F54" s="136"/>
      <c r="G54" t="s" s="128">
        <v>725</v>
      </c>
      <c r="H54" t="s" s="128">
        <v>726</v>
      </c>
      <c r="I54" t="s" s="128">
        <v>565</v>
      </c>
      <c r="J54" s="129">
        <v>1.67</v>
      </c>
      <c r="K54" s="130">
        <v>20500</v>
      </c>
      <c r="L54" s="130">
        <v>6500</v>
      </c>
      <c r="M54" s="131" cm="1">
        <f t="array" ref="M54">_xlfn.IFERROR(K54+L54,50000)</f>
        <v>27000</v>
      </c>
      <c r="N54" s="132">
        <v>3</v>
      </c>
      <c r="O54" t="s" s="145">
        <v>727</v>
      </c>
      <c r="P54" t="s" s="128">
        <v>519</v>
      </c>
      <c r="Q54" t="s" s="128">
        <v>519</v>
      </c>
      <c r="R54" s="127">
        <v>150</v>
      </c>
      <c r="S54" s="127">
        <v>150</v>
      </c>
      <c r="T54" s="127">
        <v>14</v>
      </c>
      <c r="U54" s="127">
        <v>36</v>
      </c>
      <c r="V54" t="s" s="128">
        <v>524</v>
      </c>
      <c r="W54" s="127" cm="1">
        <f t="array" ref="W54">IF(J54&lt;2.1,1,0)+IF(M54&lt;'Budget - Budget'!$C$3,2,0)+IF(S54&lt;'Invités'!$B$91,0,1)+IF(U54&gt;'Invités'!$P$91,2,0)+IF(V54="Non",0,1)+IF(Q54="Oui",1,0)+IF(P54="Non",2,0)+IF(N54&gt;2,2,0)+IF(M54&gt;15000,-2,0)</f>
        <v>5</v>
      </c>
      <c r="X54" t="b" s="134">
        <v>0</v>
      </c>
    </row>
    <row r="55" ht="8.35" customHeight="1" hidden="1">
      <c r="B55" t="s" s="125">
        <v>728</v>
      </c>
      <c r="C55" t="b" s="126">
        <v>1</v>
      </c>
      <c r="D55" t="b" s="127">
        <v>1</v>
      </c>
      <c r="E55" t="b" s="127">
        <v>0</v>
      </c>
      <c r="F55" s="136"/>
      <c r="G55" t="s" s="128">
        <v>729</v>
      </c>
      <c r="H55" t="s" s="128">
        <v>730</v>
      </c>
      <c r="I55" t="s" s="128">
        <v>731</v>
      </c>
      <c r="J55" s="129">
        <v>3.33</v>
      </c>
      <c r="K55" s="130">
        <v>28000</v>
      </c>
      <c r="L55" s="130">
        <v>0</v>
      </c>
      <c r="M55" s="131" cm="1">
        <f t="array" ref="M55">_xlfn.IFERROR(K55+L55,50000)</f>
        <v>28000</v>
      </c>
      <c r="N55" s="132">
        <v>3</v>
      </c>
      <c r="O55" t="s" s="128">
        <v>732</v>
      </c>
      <c r="P55" t="s" s="128">
        <v>519</v>
      </c>
      <c r="Q55" t="s" s="128">
        <v>519</v>
      </c>
      <c r="R55" s="127">
        <v>100</v>
      </c>
      <c r="S55" s="127">
        <v>100</v>
      </c>
      <c r="T55" s="127">
        <v>35</v>
      </c>
      <c r="U55" s="127">
        <v>85</v>
      </c>
      <c r="V55" t="s" s="128">
        <v>524</v>
      </c>
      <c r="W55" s="127" cm="1">
        <f t="array" ref="W55">IF(J55&lt;2.1,1,0)+IF(M55&lt;'Budget - Budget'!$C$3,2,0)+IF(S55&lt;'Invités'!$B$91,0,1)+IF(U55&gt;'Invités'!$P$91,2,0)+IF(V55="Non",0,1)+IF(Q55="Oui",1,0)+IF(P55="Non",2,0)+IF(N55&gt;2,2,0)+IF(M55&gt;15000,-2,0)</f>
        <v>6</v>
      </c>
      <c r="X55" t="b" s="134">
        <v>0</v>
      </c>
    </row>
    <row r="56" ht="8.35" customHeight="1" hidden="1">
      <c r="B56" t="s" s="125">
        <v>733</v>
      </c>
      <c r="C56" t="b" s="126">
        <v>1</v>
      </c>
      <c r="D56" t="b" s="127">
        <v>1</v>
      </c>
      <c r="E56" t="b" s="127">
        <v>1</v>
      </c>
      <c r="F56" t="b" s="127">
        <v>1</v>
      </c>
      <c r="G56" t="s" s="128">
        <v>734</v>
      </c>
      <c r="H56" t="s" s="128">
        <v>735</v>
      </c>
      <c r="I56" t="s" s="128">
        <v>542</v>
      </c>
      <c r="J56" s="129">
        <v>1</v>
      </c>
      <c r="K56" s="130">
        <v>12000</v>
      </c>
      <c r="L56" s="130">
        <v>0</v>
      </c>
      <c r="M56" s="131" cm="1">
        <f t="array" ref="M56">_xlfn.IFERROR(K56+L56,50000)</f>
        <v>12000</v>
      </c>
      <c r="N56" s="132">
        <v>3</v>
      </c>
      <c r="O56" t="s" s="145">
        <v>736</v>
      </c>
      <c r="P56" t="s" s="128">
        <v>519</v>
      </c>
      <c r="Q56" t="s" s="128">
        <v>519</v>
      </c>
      <c r="R56" s="127">
        <v>120</v>
      </c>
      <c r="S56" s="127">
        <v>120</v>
      </c>
      <c r="T56" s="127">
        <v>6</v>
      </c>
      <c r="U56" s="127">
        <v>18</v>
      </c>
      <c r="V56" t="s" s="128">
        <v>519</v>
      </c>
      <c r="W56" s="127" cm="1">
        <f t="array" ref="W56">IF(J56&lt;2.1,1,0)+IF(M56&lt;'Budget - Budget'!$C$3,2,0)+IF(S56&lt;'Invités'!$B$91,0,1)+IF(U56&gt;'Invités'!$P$91,2,0)+IF(V56="Non",0,1)+IF(Q56="Oui",1,0)+IF(P56="Non",2,0)+IF(N56&gt;2,2,0)+IF(M56&gt;15000,-2,0)</f>
        <v>8</v>
      </c>
      <c r="X56" t="b" s="134">
        <v>0</v>
      </c>
    </row>
    <row r="57" ht="8.35" customHeight="1" hidden="1">
      <c r="B57" t="s" s="125">
        <v>737</v>
      </c>
      <c r="C57" t="b" s="126">
        <v>1</v>
      </c>
      <c r="D57" t="b" s="127">
        <v>1</v>
      </c>
      <c r="E57" t="b" s="127">
        <v>1</v>
      </c>
      <c r="F57" s="136"/>
      <c r="G57" t="s" s="128">
        <v>738</v>
      </c>
      <c r="H57" t="s" s="128">
        <v>739</v>
      </c>
      <c r="I57" t="s" s="128">
        <v>610</v>
      </c>
      <c r="J57" s="129">
        <v>2.5</v>
      </c>
      <c r="K57" s="130">
        <v>9705</v>
      </c>
      <c r="L57" s="130">
        <v>0</v>
      </c>
      <c r="M57" s="131" cm="1">
        <f t="array" ref="M57">_xlfn.IFERROR(K57+L57,50000)</f>
        <v>9705</v>
      </c>
      <c r="N57" s="132">
        <v>3</v>
      </c>
      <c r="O57" t="s" s="145">
        <v>740</v>
      </c>
      <c r="P57" t="s" s="128">
        <v>524</v>
      </c>
      <c r="Q57" t="s" s="128">
        <v>519</v>
      </c>
      <c r="R57" s="127">
        <v>160</v>
      </c>
      <c r="S57" s="127">
        <v>160</v>
      </c>
      <c r="T57" s="127">
        <v>7</v>
      </c>
      <c r="U57" s="127">
        <v>39</v>
      </c>
      <c r="V57" t="s" s="128">
        <v>519</v>
      </c>
      <c r="W57" s="127" cm="1">
        <f t="array" ref="W57">IF(J57&lt;2.1,1,0)+IF(M57&lt;'Budget - Budget'!$C$3,2,0)+IF(S57&lt;'Invités'!$B$91,0,1)+IF(U57&gt;'Invités'!$P$91,2,0)+IF(V57="Non",0,1)+IF(Q57="Oui",1,0)+IF(P57="Non",2,0)+IF(N57&gt;2,2,0)+IF(M57&gt;15000,-2,0)</f>
        <v>5</v>
      </c>
      <c r="X57" t="b" s="134">
        <v>0</v>
      </c>
    </row>
    <row r="58" ht="8.35" customHeight="1" hidden="1">
      <c r="B58" t="s" s="125">
        <v>741</v>
      </c>
      <c r="C58" t="b" s="126">
        <v>1</v>
      </c>
      <c r="D58" t="b" s="127">
        <v>1</v>
      </c>
      <c r="E58" t="b" s="127">
        <v>0</v>
      </c>
      <c r="F58" s="136"/>
      <c r="G58" t="s" s="128">
        <v>742</v>
      </c>
      <c r="H58" t="s" s="128">
        <v>743</v>
      </c>
      <c r="I58" t="s" s="128">
        <v>744</v>
      </c>
      <c r="J58" s="129">
        <v>1.42</v>
      </c>
      <c r="K58" s="130">
        <v>5240</v>
      </c>
      <c r="L58" s="137">
        <v>530</v>
      </c>
      <c r="M58" s="131" cm="1">
        <f t="array" ref="M58">_xlfn.IFERROR(K58+L58,50000)</f>
        <v>5770</v>
      </c>
      <c r="N58" s="132">
        <v>3</v>
      </c>
      <c r="O58" t="s" s="145">
        <v>745</v>
      </c>
      <c r="P58" t="s" s="128">
        <v>524</v>
      </c>
      <c r="Q58" t="s" s="128">
        <v>519</v>
      </c>
      <c r="R58" s="127">
        <v>150</v>
      </c>
      <c r="S58" s="127">
        <v>120</v>
      </c>
      <c r="T58" s="127">
        <v>8</v>
      </c>
      <c r="U58" s="127">
        <v>25</v>
      </c>
      <c r="V58" t="s" s="128">
        <v>519</v>
      </c>
      <c r="W58" s="127" cm="1">
        <f t="array" ref="W58">IF(J58&lt;2.1,1,0)+IF(M58&lt;'Budget - Budget'!$C$3,2,0)+IF(S58&lt;'Invités'!$B$91,0,1)+IF(U58&gt;'Invités'!$P$91,2,0)+IF(V58="Non",0,1)+IF(Q58="Oui",1,0)+IF(P58="Non",2,0)+IF(N58&gt;2,2,0)+IF(M58&gt;15000,-2,0)</f>
        <v>6</v>
      </c>
      <c r="X58" t="b" s="134">
        <v>0</v>
      </c>
    </row>
    <row r="59" ht="8.35" customHeight="1" hidden="1">
      <c r="B59" t="s" s="125">
        <v>746</v>
      </c>
      <c r="C59" t="b" s="126">
        <v>1</v>
      </c>
      <c r="D59" t="b" s="127">
        <v>1</v>
      </c>
      <c r="E59" t="b" s="127">
        <v>0</v>
      </c>
      <c r="F59" s="136"/>
      <c r="G59" t="s" s="128">
        <v>747</v>
      </c>
      <c r="H59" t="s" s="128">
        <v>748</v>
      </c>
      <c r="I59" t="s" s="128">
        <v>749</v>
      </c>
      <c r="J59" s="129">
        <v>2.25</v>
      </c>
      <c r="K59" s="152">
        <v>9863</v>
      </c>
      <c r="L59" s="130">
        <v>0</v>
      </c>
      <c r="M59" s="131" cm="1">
        <f t="array" ref="M59">_xlfn.IFERROR(K59+L59,50000)</f>
        <v>9863</v>
      </c>
      <c r="N59" s="132">
        <v>3</v>
      </c>
      <c r="O59" t="s" s="153">
        <v>750</v>
      </c>
      <c r="P59" t="s" s="128">
        <v>524</v>
      </c>
      <c r="Q59" t="s" s="128">
        <v>519</v>
      </c>
      <c r="R59" s="127">
        <v>500</v>
      </c>
      <c r="S59" s="127">
        <v>280</v>
      </c>
      <c r="T59" s="127">
        <v>23</v>
      </c>
      <c r="U59" s="127">
        <v>50</v>
      </c>
      <c r="V59" t="s" s="128">
        <v>519</v>
      </c>
      <c r="W59" s="127" cm="1">
        <f t="array" ref="W59">IF(J59&lt;2.1,1,0)+IF(M59&lt;'Budget - Budget'!$C$3,2,0)+IF(S59&lt;'Invités'!$B$91,0,1)+IF(U59&gt;'Invités'!$P$91,2,0)+IF(V59="Non",0,1)+IF(Q59="Oui",1,0)+IF(P59="Non",2,0)+IF(N59&gt;2,2,0)+IF(M59&gt;15000,-2,0)</f>
        <v>5</v>
      </c>
      <c r="X59" t="b" s="134">
        <v>0</v>
      </c>
    </row>
    <row r="60" ht="8.35" customHeight="1" hidden="1">
      <c r="B60" t="s" s="125">
        <v>751</v>
      </c>
      <c r="C60" t="b" s="126">
        <v>1</v>
      </c>
      <c r="D60" t="b" s="127">
        <v>1</v>
      </c>
      <c r="E60" t="b" s="127">
        <v>1</v>
      </c>
      <c r="F60" t="b" s="127">
        <v>0</v>
      </c>
      <c r="G60" t="s" s="128">
        <v>752</v>
      </c>
      <c r="H60" t="s" s="128">
        <v>753</v>
      </c>
      <c r="I60" t="s" s="128">
        <v>754</v>
      </c>
      <c r="J60" s="129">
        <v>5</v>
      </c>
      <c r="K60" s="154">
        <v>10500</v>
      </c>
      <c r="L60" s="130">
        <v>0</v>
      </c>
      <c r="M60" s="131" cm="1">
        <f t="array" ref="M60">_xlfn.IFERROR(K60+L60,50000)</f>
        <v>10500</v>
      </c>
      <c r="N60" s="132">
        <v>3</v>
      </c>
      <c r="O60" t="s" s="145">
        <v>755</v>
      </c>
      <c r="P60" t="s" s="128">
        <v>519</v>
      </c>
      <c r="Q60" t="s" s="128">
        <v>519</v>
      </c>
      <c r="R60" s="127">
        <v>200</v>
      </c>
      <c r="S60" s="127">
        <v>120</v>
      </c>
      <c r="T60" s="127">
        <v>10</v>
      </c>
      <c r="U60" s="127">
        <v>26</v>
      </c>
      <c r="V60" t="s" s="128">
        <v>519</v>
      </c>
      <c r="W60" s="127" cm="1">
        <f t="array" ref="W60">IF(J60&lt;2.1,1,0)+IF(M60&lt;'Budget - Budget'!$C$3,2,0)+IF(S60&lt;'Invités'!$B$91,0,1)+IF(U60&gt;'Invités'!$P$91,2,0)+IF(V60="Non",0,1)+IF(Q60="Oui",1,0)+IF(P60="Non",2,0)+IF(N60&gt;2,2,0)+IF(M60&gt;15000,-2,0)</f>
        <v>7</v>
      </c>
      <c r="X60" t="b" s="134">
        <v>0</v>
      </c>
    </row>
    <row r="61" ht="8.35" customHeight="1" hidden="1">
      <c r="B61" t="s" s="125">
        <v>756</v>
      </c>
      <c r="C61" t="b" s="126">
        <v>1</v>
      </c>
      <c r="D61" t="b" s="127">
        <v>1</v>
      </c>
      <c r="E61" t="b" s="127">
        <v>1</v>
      </c>
      <c r="F61" t="b" s="127">
        <v>0</v>
      </c>
      <c r="G61" t="s" s="128">
        <v>757</v>
      </c>
      <c r="H61" t="s" s="128">
        <v>758</v>
      </c>
      <c r="I61" t="s" s="128">
        <v>517</v>
      </c>
      <c r="J61" s="129">
        <v>1.25</v>
      </c>
      <c r="K61" s="130" cm="1">
        <f t="array" ref="K61">9200+(130*5)+1800</f>
        <v>11650</v>
      </c>
      <c r="L61" s="138" cm="1">
        <f t="array" ref="L61">2780+700</f>
        <v>3480</v>
      </c>
      <c r="M61" s="131" cm="1">
        <f t="array" ref="M61">_xlfn.IFERROR(K61+L61,50000)</f>
        <v>15130</v>
      </c>
      <c r="N61" s="132">
        <v>3</v>
      </c>
      <c r="O61" t="s" s="135">
        <v>759</v>
      </c>
      <c r="P61" t="s" s="128">
        <v>524</v>
      </c>
      <c r="Q61" t="s" s="128">
        <v>519</v>
      </c>
      <c r="R61" s="127">
        <v>400</v>
      </c>
      <c r="S61" s="127">
        <v>400</v>
      </c>
      <c r="T61" s="127">
        <v>18</v>
      </c>
      <c r="U61" s="127">
        <v>71</v>
      </c>
      <c r="V61" t="s" s="128">
        <v>519</v>
      </c>
      <c r="W61" s="127" cm="1">
        <f t="array" ref="W61">IF(J61&lt;2.1,1,0)+IF(M61&lt;'Budget - Budget'!$C$3,2,0)+IF(S61&lt;'Invités'!$B$91,0,1)+IF(U61&gt;'Invités'!$P$91,2,0)+IF(V61="Non",0,1)+IF(Q61="Oui",1,0)+IF(P61="Non",2,0)+IF(N61&gt;2,2,0)+IF(M61&gt;15000,-2,0)</f>
        <v>4</v>
      </c>
      <c r="X61" t="b" s="134">
        <v>0</v>
      </c>
    </row>
    <row r="62" ht="8.35" customHeight="1" hidden="1">
      <c r="B62" t="s" s="125">
        <v>760</v>
      </c>
      <c r="C62" t="b" s="126">
        <v>1</v>
      </c>
      <c r="D62" t="b" s="127">
        <v>1</v>
      </c>
      <c r="E62" t="b" s="127">
        <v>0</v>
      </c>
      <c r="F62" s="136"/>
      <c r="G62" t="s" s="128">
        <v>761</v>
      </c>
      <c r="H62" t="s" s="128">
        <v>762</v>
      </c>
      <c r="I62" t="s" s="128">
        <v>649</v>
      </c>
      <c r="J62" s="129">
        <v>0.83</v>
      </c>
      <c r="K62" s="130">
        <v>15000</v>
      </c>
      <c r="L62" s="130">
        <v>0</v>
      </c>
      <c r="M62" s="131" cm="1">
        <f t="array" ref="M62">_xlfn.IFERROR(K62+L62,50000)</f>
        <v>15000</v>
      </c>
      <c r="N62" s="132"/>
      <c r="O62" t="s" s="133">
        <v>763</v>
      </c>
      <c r="P62" t="s" s="128">
        <v>524</v>
      </c>
      <c r="Q62" t="s" s="128">
        <v>519</v>
      </c>
      <c r="R62" s="127">
        <v>250</v>
      </c>
      <c r="S62" s="127">
        <v>250</v>
      </c>
      <c r="T62" t="s" s="128">
        <v>764</v>
      </c>
      <c r="U62" s="127">
        <v>100</v>
      </c>
      <c r="V62" t="s" s="128">
        <v>519</v>
      </c>
      <c r="W62" s="127" cm="1">
        <f t="array" ref="W62">IF(J62&lt;2.1,1,0)+IF(M62&lt;'Budget - Budget'!$C$3,2,0)+IF(S62&lt;'Invités'!$B$91,0,1)+IF(U62&gt;'Invités'!$P$91,2,0)+IF(V62="Non",0,1)+IF(Q62="Oui",1,0)+IF(P62="Non",2,0)+IF(N62&gt;2,2,0)+IF(M62&gt;15000,-2,0)</f>
        <v>6</v>
      </c>
      <c r="X62" t="b" s="134">
        <v>0</v>
      </c>
    </row>
    <row r="63" ht="8.35" customHeight="1" hidden="1">
      <c r="B63" t="s" s="125">
        <v>765</v>
      </c>
      <c r="C63" t="b" s="126">
        <v>1</v>
      </c>
      <c r="D63" t="b" s="127">
        <v>1</v>
      </c>
      <c r="E63" t="b" s="127">
        <v>1</v>
      </c>
      <c r="F63" t="b" s="127">
        <v>0</v>
      </c>
      <c r="G63" t="s" s="128">
        <v>766</v>
      </c>
      <c r="H63" t="s" s="128">
        <v>767</v>
      </c>
      <c r="I63" t="s" s="128">
        <v>542</v>
      </c>
      <c r="J63" s="129">
        <v>1</v>
      </c>
      <c r="K63" s="130">
        <v>13500</v>
      </c>
      <c r="L63" s="130">
        <v>6648</v>
      </c>
      <c r="M63" s="131" cm="1">
        <f t="array" ref="M63">_xlfn.IFERROR(K63+L63,50000)</f>
        <v>20148</v>
      </c>
      <c r="N63" s="132">
        <v>3</v>
      </c>
      <c r="O63" t="s" s="133">
        <v>529</v>
      </c>
      <c r="P63" t="s" s="128">
        <v>519</v>
      </c>
      <c r="Q63" t="s" s="128">
        <v>519</v>
      </c>
      <c r="R63" s="127">
        <v>200</v>
      </c>
      <c r="S63" s="127">
        <v>200</v>
      </c>
      <c r="T63" s="127">
        <v>13</v>
      </c>
      <c r="U63" s="127">
        <v>46</v>
      </c>
      <c r="V63" t="s" s="128">
        <v>519</v>
      </c>
      <c r="W63" s="127" cm="1">
        <f t="array" ref="W63">IF(J63&lt;2.1,1,0)+IF(M63&lt;'Budget - Budget'!$C$3,2,0)+IF(S63&lt;'Invités'!$B$91,0,1)+IF(U63&gt;'Invités'!$P$91,2,0)+IF(V63="Non",0,1)+IF(Q63="Oui",1,0)+IF(P63="Non",2,0)+IF(N63&gt;2,2,0)+IF(M63&gt;15000,-2,0)</f>
        <v>4</v>
      </c>
      <c r="X63" t="b" s="134">
        <v>0</v>
      </c>
    </row>
    <row r="64" ht="8.35" customHeight="1" hidden="1">
      <c r="B64" t="s" s="125">
        <v>768</v>
      </c>
      <c r="C64" t="b" s="126">
        <v>1</v>
      </c>
      <c r="D64" t="b" s="127">
        <v>1</v>
      </c>
      <c r="E64" t="b" s="127">
        <v>0</v>
      </c>
      <c r="F64" s="136"/>
      <c r="G64" t="s" s="128">
        <v>769</v>
      </c>
      <c r="H64" t="s" s="128">
        <v>770</v>
      </c>
      <c r="I64" t="s" s="128">
        <v>552</v>
      </c>
      <c r="J64" s="129">
        <v>1.33</v>
      </c>
      <c r="K64" s="130">
        <v>12000</v>
      </c>
      <c r="L64" t="s" s="145">
        <v>771</v>
      </c>
      <c r="M64" s="131" cm="1">
        <f t="array" ref="M64">_xlfn.IFERROR(K64+L64,50000)</f>
        <v>50000</v>
      </c>
      <c r="N64" s="132">
        <v>1</v>
      </c>
      <c r="O64" s="150">
        <v>1</v>
      </c>
      <c r="P64" t="s" s="128">
        <v>519</v>
      </c>
      <c r="Q64" t="s" s="128">
        <v>519</v>
      </c>
      <c r="R64" s="127">
        <v>300</v>
      </c>
      <c r="S64" s="127">
        <v>250</v>
      </c>
      <c r="T64" t="s" s="128">
        <v>764</v>
      </c>
      <c r="U64" s="127">
        <v>120</v>
      </c>
      <c r="V64" t="s" s="128">
        <v>519</v>
      </c>
      <c r="W64" s="127" cm="1">
        <f t="array" ref="W64">IF(J64&lt;2.1,1,0)+IF(M64&lt;'Budget - Budget'!$C$3,2,0)+IF(S64&lt;'Invités'!$B$91,0,1)+IF(U64&gt;'Invités'!$P$91,2,0)+IF(V64="Non",0,1)+IF(Q64="Oui",1,0)+IF(P64="Non",2,0)+IF(N64&gt;2,2,0)+IF(M64&gt;15000,-2,0)</f>
        <v>4</v>
      </c>
      <c r="X64" t="b" s="134">
        <v>0</v>
      </c>
    </row>
    <row r="65" ht="8.35" customHeight="1" hidden="1">
      <c r="B65" t="s" s="125">
        <v>772</v>
      </c>
      <c r="C65" t="b" s="126">
        <v>1</v>
      </c>
      <c r="D65" t="b" s="127">
        <v>1</v>
      </c>
      <c r="E65" t="b" s="127">
        <v>0</v>
      </c>
      <c r="F65" s="136"/>
      <c r="G65" t="s" s="128">
        <v>773</v>
      </c>
      <c r="H65" t="s" s="128">
        <v>774</v>
      </c>
      <c r="I65" t="s" s="128">
        <v>775</v>
      </c>
      <c r="J65" s="129">
        <v>5.75</v>
      </c>
      <c r="K65" s="130">
        <v>11900</v>
      </c>
      <c r="L65" s="130">
        <v>0</v>
      </c>
      <c r="M65" s="131" cm="1">
        <f t="array" ref="M65">_xlfn.IFERROR(K65+L65,50000)</f>
        <v>11900</v>
      </c>
      <c r="N65" s="132">
        <v>4</v>
      </c>
      <c r="O65" t="s" s="128">
        <v>776</v>
      </c>
      <c r="P65" t="s" s="128">
        <v>519</v>
      </c>
      <c r="Q65" t="s" s="128">
        <v>519</v>
      </c>
      <c r="R65" s="127">
        <v>130</v>
      </c>
      <c r="S65" s="127">
        <v>130</v>
      </c>
      <c r="T65" s="127">
        <v>12</v>
      </c>
      <c r="U65" s="127">
        <v>38</v>
      </c>
      <c r="V65" t="s" s="128">
        <v>519</v>
      </c>
      <c r="W65" s="127" cm="1">
        <f t="array" ref="W65">IF(J65&lt;2.1,1,0)+IF(M65&lt;'Budget - Budget'!$C$3,2,0)+IF(S65&lt;'Invités'!$B$91,0,1)+IF(U65&gt;'Invités'!$P$91,2,0)+IF(V65="Non",0,1)+IF(Q65="Oui",1,0)+IF(P65="Non",2,0)+IF(N65&gt;2,2,0)+IF(M65&gt;15000,-2,0)</f>
        <v>7</v>
      </c>
      <c r="X65" t="b" s="134">
        <v>0</v>
      </c>
    </row>
    <row r="66" ht="8.35" customHeight="1" hidden="1">
      <c r="B66" t="s" s="125">
        <v>777</v>
      </c>
      <c r="C66" t="b" s="126">
        <v>1</v>
      </c>
      <c r="D66" t="b" s="127">
        <v>1</v>
      </c>
      <c r="E66" t="b" s="127">
        <v>0</v>
      </c>
      <c r="F66" s="136"/>
      <c r="G66" t="s" s="128">
        <v>778</v>
      </c>
      <c r="H66" t="s" s="128">
        <v>779</v>
      </c>
      <c r="I66" t="s" s="128">
        <v>573</v>
      </c>
      <c r="J66" s="129">
        <v>1.5</v>
      </c>
      <c r="K66" s="130">
        <v>13000</v>
      </c>
      <c r="L66" s="130">
        <v>3000</v>
      </c>
      <c r="M66" s="131" cm="1">
        <f t="array" ref="M66">_xlfn.IFERROR(K66+L66,50000)</f>
        <v>16000</v>
      </c>
      <c r="N66" s="132">
        <v>3</v>
      </c>
      <c r="O66" t="s" s="128">
        <v>780</v>
      </c>
      <c r="P66" t="s" s="128">
        <v>519</v>
      </c>
      <c r="Q66" t="s" s="128">
        <v>519</v>
      </c>
      <c r="R66" s="127">
        <v>350</v>
      </c>
      <c r="S66" s="127">
        <v>350</v>
      </c>
      <c r="T66" s="127">
        <v>13</v>
      </c>
      <c r="U66" s="127">
        <v>40</v>
      </c>
      <c r="V66" t="s" s="128">
        <v>519</v>
      </c>
      <c r="W66" s="127" cm="1">
        <f t="array" ref="W66">IF(J66&lt;2.1,1,0)+IF(M66&lt;'Budget - Budget'!$C$3,2,0)+IF(S66&lt;'Invités'!$B$91,0,1)+IF(U66&gt;'Invités'!$P$91,2,0)+IF(V66="Non",0,1)+IF(Q66="Oui",1,0)+IF(P66="Non",2,0)+IF(N66&gt;2,2,0)+IF(M66&gt;15000,-2,0)</f>
        <v>6</v>
      </c>
      <c r="X66" t="b" s="134">
        <v>0</v>
      </c>
    </row>
    <row r="67" ht="8.35" customHeight="1" hidden="1">
      <c r="B67" t="s" s="125">
        <v>781</v>
      </c>
      <c r="C67" t="b" s="126">
        <v>1</v>
      </c>
      <c r="D67" t="b" s="127">
        <v>1</v>
      </c>
      <c r="E67" t="b" s="127">
        <v>0</v>
      </c>
      <c r="F67" s="136"/>
      <c r="G67" t="s" s="128">
        <v>782</v>
      </c>
      <c r="H67" t="s" s="128">
        <v>783</v>
      </c>
      <c r="I67" t="s" s="128">
        <v>744</v>
      </c>
      <c r="J67" s="129">
        <v>1.42</v>
      </c>
      <c r="K67" s="130" cm="1">
        <f t="array" ref="K67">13800+490</f>
        <v>14290</v>
      </c>
      <c r="L67" s="139">
        <v>5111</v>
      </c>
      <c r="M67" s="131" cm="1">
        <f t="array" ref="M67">_xlfn.IFERROR(K67+L67,50000)</f>
        <v>19401</v>
      </c>
      <c r="N67" s="132">
        <v>3</v>
      </c>
      <c r="O67" t="s" s="128">
        <v>784</v>
      </c>
      <c r="P67" t="s" s="128">
        <v>519</v>
      </c>
      <c r="Q67" t="s" s="128">
        <v>519</v>
      </c>
      <c r="R67" s="127">
        <v>600</v>
      </c>
      <c r="S67" s="127">
        <v>450</v>
      </c>
      <c r="T67" s="127">
        <v>17</v>
      </c>
      <c r="U67" s="127">
        <v>38</v>
      </c>
      <c r="V67" t="s" s="128">
        <v>519</v>
      </c>
      <c r="W67" s="127" cm="1">
        <f t="array" ref="W67">IF(J67&lt;2.1,1,0)+IF(M67&lt;'Budget - Budget'!$C$3,2,0)+IF(S67&lt;'Invités'!$B$91,0,1)+IF(U67&gt;'Invités'!$P$91,2,0)+IF(V67="Non",0,1)+IF(Q67="Oui",1,0)+IF(P67="Non",2,0)+IF(N67&gt;2,2,0)+IF(M67&gt;15000,-2,0)</f>
        <v>4</v>
      </c>
      <c r="X67" t="b" s="134">
        <v>0</v>
      </c>
    </row>
    <row r="68" ht="8.35" customHeight="1" hidden="1">
      <c r="B68" t="s" s="125">
        <v>785</v>
      </c>
      <c r="C68" t="b" s="126">
        <v>1</v>
      </c>
      <c r="D68" t="b" s="127">
        <v>1</v>
      </c>
      <c r="E68" t="b" s="127">
        <v>0</v>
      </c>
      <c r="F68" s="136"/>
      <c r="G68" t="s" s="128">
        <v>786</v>
      </c>
      <c r="H68" t="s" s="128">
        <v>787</v>
      </c>
      <c r="I68" t="s" s="128">
        <v>528</v>
      </c>
      <c r="J68" s="129">
        <v>2</v>
      </c>
      <c r="K68" s="130">
        <v>13000</v>
      </c>
      <c r="L68" s="130">
        <v>0</v>
      </c>
      <c r="M68" s="131" cm="1">
        <f t="array" ref="M68">_xlfn.IFERROR(K68+L68,50000)</f>
        <v>13000</v>
      </c>
      <c r="N68" s="132">
        <v>3</v>
      </c>
      <c r="O68" t="s" s="145">
        <v>788</v>
      </c>
      <c r="P68" t="s" s="128">
        <v>524</v>
      </c>
      <c r="Q68" t="s" s="128">
        <v>519</v>
      </c>
      <c r="R68" s="127">
        <v>240</v>
      </c>
      <c r="S68" s="127">
        <v>240</v>
      </c>
      <c r="T68" s="127">
        <v>12</v>
      </c>
      <c r="U68" s="127">
        <v>40</v>
      </c>
      <c r="V68" t="s" s="128">
        <v>519</v>
      </c>
      <c r="W68" s="127" cm="1">
        <f t="array" ref="W68">IF(J68&lt;2.1,1,0)+IF(M68&lt;'Budget - Budget'!$C$3,2,0)+IF(S68&lt;'Invités'!$B$91,0,1)+IF(U68&gt;'Invités'!$P$91,2,0)+IF(V68="Non",0,1)+IF(Q68="Oui",1,0)+IF(P68="Non",2,0)+IF(N68&gt;2,2,0)+IF(M68&gt;15000,-2,0)</f>
        <v>6</v>
      </c>
      <c r="X68" t="b" s="134">
        <v>0</v>
      </c>
    </row>
    <row r="69" ht="8.35" customHeight="1" hidden="1">
      <c r="B69" t="s" s="125">
        <v>789</v>
      </c>
      <c r="C69" t="b" s="126">
        <v>1</v>
      </c>
      <c r="D69" t="b" s="127">
        <v>1</v>
      </c>
      <c r="E69" t="b" s="127">
        <v>0</v>
      </c>
      <c r="F69" t="b" s="127">
        <v>0</v>
      </c>
      <c r="G69" t="s" s="128">
        <v>790</v>
      </c>
      <c r="H69" t="s" s="128">
        <v>791</v>
      </c>
      <c r="I69" t="s" s="128">
        <v>552</v>
      </c>
      <c r="J69" s="129">
        <v>1.33</v>
      </c>
      <c r="K69" s="130" cm="1">
        <f t="array" ref="K69">7000+1500</f>
        <v>8500</v>
      </c>
      <c r="L69" s="130">
        <v>5050</v>
      </c>
      <c r="M69" s="131" cm="1">
        <f t="array" ref="M69">_xlfn.IFERROR(K69+L69,50000)</f>
        <v>13550</v>
      </c>
      <c r="N69" s="132">
        <v>2</v>
      </c>
      <c r="O69" t="s" s="145">
        <v>792</v>
      </c>
      <c r="P69" t="s" s="128">
        <v>524</v>
      </c>
      <c r="Q69" t="s" s="128">
        <v>519</v>
      </c>
      <c r="R69" s="127">
        <v>450</v>
      </c>
      <c r="S69" s="127">
        <v>450</v>
      </c>
      <c r="T69" s="127">
        <v>30</v>
      </c>
      <c r="U69" s="127">
        <v>116</v>
      </c>
      <c r="V69" t="s" s="128">
        <v>519</v>
      </c>
      <c r="W69" s="127" cm="1">
        <f t="array" ref="W69">IF(J69&lt;2.1,1,0)+IF(M69&lt;'Budget - Budget'!$C$3,2,0)+IF(S69&lt;'Invités'!$B$91,0,1)+IF(U69&gt;'Invités'!$P$91,2,0)+IF(V69="Non",0,1)+IF(Q69="Oui",1,0)+IF(P69="Non",2,0)+IF(N69&gt;2,2,0)+IF(M69&gt;15000,-2,0)</f>
        <v>6</v>
      </c>
      <c r="X69" t="b" s="134">
        <v>0</v>
      </c>
    </row>
    <row r="70" ht="8.35" customHeight="1" hidden="1">
      <c r="B70" t="s" s="125">
        <v>793</v>
      </c>
      <c r="C70" t="b" s="126">
        <v>1</v>
      </c>
      <c r="D70" t="b" s="127">
        <v>1</v>
      </c>
      <c r="E70" t="b" s="127">
        <v>0</v>
      </c>
      <c r="F70" s="136"/>
      <c r="G70" t="s" s="128">
        <v>794</v>
      </c>
      <c r="H70" t="s" s="128">
        <v>795</v>
      </c>
      <c r="I70" t="s" s="128">
        <v>542</v>
      </c>
      <c r="J70" s="129">
        <v>1</v>
      </c>
      <c r="K70" s="130">
        <v>26650</v>
      </c>
      <c r="L70" s="130">
        <v>450</v>
      </c>
      <c r="M70" s="131" cm="1">
        <f t="array" ref="M70">_xlfn.IFERROR(K70+L70,50000)</f>
        <v>27100</v>
      </c>
      <c r="N70" s="132">
        <v>3</v>
      </c>
      <c r="O70" t="s" s="145">
        <v>796</v>
      </c>
      <c r="P70" t="s" s="128">
        <v>524</v>
      </c>
      <c r="Q70" t="s" s="128">
        <v>519</v>
      </c>
      <c r="R70" s="127">
        <v>440</v>
      </c>
      <c r="S70" s="127">
        <v>150</v>
      </c>
      <c r="T70" s="127">
        <v>12</v>
      </c>
      <c r="U70" s="127">
        <v>56</v>
      </c>
      <c r="V70" t="s" s="128">
        <v>519</v>
      </c>
      <c r="W70" s="127" cm="1">
        <f t="array" ref="W70">IF(J70&lt;2.1,1,0)+IF(M70&lt;'Budget - Budget'!$C$3,2,0)+IF(S70&lt;'Invités'!$B$91,0,1)+IF(U70&gt;'Invités'!$P$91,2,0)+IF(V70="Non",0,1)+IF(Q70="Oui",1,0)+IF(P70="Non",2,0)+IF(N70&gt;2,2,0)+IF(M70&gt;15000,-2,0)</f>
        <v>2</v>
      </c>
      <c r="X70" t="b" s="134">
        <v>0</v>
      </c>
    </row>
    <row r="71" ht="8.35" customHeight="1" hidden="1">
      <c r="B71" t="s" s="125">
        <v>797</v>
      </c>
      <c r="C71" t="b" s="126">
        <v>1</v>
      </c>
      <c r="D71" t="b" s="127">
        <v>1</v>
      </c>
      <c r="E71" t="b" s="127">
        <v>0</v>
      </c>
      <c r="F71" s="136"/>
      <c r="G71" t="s" s="128">
        <v>798</v>
      </c>
      <c r="H71" t="s" s="128">
        <v>799</v>
      </c>
      <c r="I71" t="s" s="128">
        <v>542</v>
      </c>
      <c r="J71" s="129">
        <v>1</v>
      </c>
      <c r="K71" s="130">
        <v>11800</v>
      </c>
      <c r="L71" s="130">
        <v>3900</v>
      </c>
      <c r="M71" s="131" cm="1">
        <f t="array" ref="M71">_xlfn.IFERROR(K71+L71,50000)</f>
        <v>15700</v>
      </c>
      <c r="N71" s="132">
        <v>3</v>
      </c>
      <c r="O71" t="s" s="128">
        <v>708</v>
      </c>
      <c r="P71" t="s" s="128">
        <v>524</v>
      </c>
      <c r="Q71" t="s" s="128">
        <v>519</v>
      </c>
      <c r="R71" s="127">
        <v>180</v>
      </c>
      <c r="S71" s="127">
        <v>180</v>
      </c>
      <c r="T71" s="127">
        <v>12</v>
      </c>
      <c r="U71" s="127">
        <v>42</v>
      </c>
      <c r="V71" t="s" s="128">
        <v>524</v>
      </c>
      <c r="W71" s="127" cm="1">
        <f t="array" ref="W71">IF(J71&lt;2.1,1,0)+IF(M71&lt;'Budget - Budget'!$C$3,2,0)+IF(S71&lt;'Invités'!$B$91,0,1)+IF(U71&gt;'Invités'!$P$91,2,0)+IF(V71="Non",0,1)+IF(Q71="Oui",1,0)+IF(P71="Non",2,0)+IF(N71&gt;2,2,0)+IF(M71&gt;15000,-2,0)</f>
        <v>5</v>
      </c>
      <c r="X71" t="b" s="134">
        <v>0</v>
      </c>
    </row>
    <row r="72" ht="8.35" customHeight="1" hidden="1">
      <c r="B72" t="s" s="125">
        <v>800</v>
      </c>
      <c r="C72" t="b" s="126">
        <v>1</v>
      </c>
      <c r="D72" t="b" s="127">
        <v>0</v>
      </c>
      <c r="E72" t="b" s="127">
        <v>0</v>
      </c>
      <c r="F72" s="136"/>
      <c r="G72" t="s" s="128">
        <v>801</v>
      </c>
      <c r="H72" t="s" s="128">
        <v>802</v>
      </c>
      <c r="I72" t="s" s="128">
        <v>573</v>
      </c>
      <c r="J72" s="129">
        <v>1.5</v>
      </c>
      <c r="K72" t="s" s="128">
        <v>803</v>
      </c>
      <c r="L72" s="137"/>
      <c r="M72" s="131" cm="1">
        <f t="array" ref="M72">_xlfn.IFERROR(K72+L72,50000)</f>
        <v>50000</v>
      </c>
      <c r="N72" s="132"/>
      <c r="O72" s="155"/>
      <c r="P72" s="136"/>
      <c r="Q72" t="s" s="128">
        <v>519</v>
      </c>
      <c r="R72" s="127">
        <v>500</v>
      </c>
      <c r="S72" s="127">
        <v>280</v>
      </c>
      <c r="T72" s="127">
        <v>60</v>
      </c>
      <c r="U72" s="127">
        <v>180</v>
      </c>
      <c r="V72" t="s" s="128">
        <v>524</v>
      </c>
      <c r="W72" s="127" cm="1">
        <f t="array" ref="W72">IF(J72&lt;2.1,1,0)+IF(M72&lt;'Budget - Budget'!$C$3,2,0)+IF(S72&lt;'Invités'!$B$91,0,1)+IF(U72&gt;'Invités'!$P$91,2,0)+IF(V72="Non",0,1)+IF(Q72="Oui",1,0)+IF(P72="Non",2,0)+IF(N72&gt;2,2,0)+IF(M72&gt;15000,-2,0)</f>
        <v>3</v>
      </c>
      <c r="X72" t="b" s="134">
        <v>0</v>
      </c>
    </row>
    <row r="73" ht="8.35" customHeight="1" hidden="1">
      <c r="B73" t="s" s="125">
        <v>804</v>
      </c>
      <c r="C73" t="b" s="126">
        <v>1</v>
      </c>
      <c r="D73" t="b" s="127">
        <v>1</v>
      </c>
      <c r="E73" t="b" s="127">
        <v>1</v>
      </c>
      <c r="F73" t="b" s="127">
        <v>0</v>
      </c>
      <c r="G73" t="s" s="128">
        <v>805</v>
      </c>
      <c r="H73" t="s" s="128">
        <v>806</v>
      </c>
      <c r="I73" t="s" s="128">
        <v>517</v>
      </c>
      <c r="J73" s="129">
        <v>1.25</v>
      </c>
      <c r="K73" s="130" cm="1">
        <f t="array" ref="K73">13000+1800+1760</f>
        <v>16560</v>
      </c>
      <c r="L73" s="130">
        <v>0</v>
      </c>
      <c r="M73" s="131" cm="1">
        <f t="array" ref="M73">_xlfn.IFERROR(K73+L73,50000)</f>
        <v>16560</v>
      </c>
      <c r="N73" s="132"/>
      <c r="O73" s="155"/>
      <c r="P73" t="s" s="128">
        <v>524</v>
      </c>
      <c r="Q73" t="s" s="128">
        <v>519</v>
      </c>
      <c r="R73" s="127">
        <v>310</v>
      </c>
      <c r="S73" s="127">
        <v>310</v>
      </c>
      <c r="T73" s="127">
        <v>24</v>
      </c>
      <c r="U73" s="127">
        <v>80</v>
      </c>
      <c r="V73" t="s" s="128">
        <v>524</v>
      </c>
      <c r="W73" s="127" cm="1">
        <f t="array" ref="W73">IF(J73&lt;2.1,1,0)+IF(M73&lt;'Budget - Budget'!$C$3,2,0)+IF(S73&lt;'Invités'!$B$91,0,1)+IF(U73&gt;'Invités'!$P$91,2,0)+IF(V73="Non",0,1)+IF(Q73="Oui",1,0)+IF(P73="Non",2,0)+IF(N73&gt;2,2,0)+IF(M73&gt;15000,-2,0)</f>
        <v>5</v>
      </c>
      <c r="X73" t="b" s="134">
        <v>0</v>
      </c>
    </row>
    <row r="74" ht="8.35" customHeight="1" hidden="1">
      <c r="B74" t="s" s="125">
        <v>807</v>
      </c>
      <c r="C74" t="b" s="126">
        <v>1</v>
      </c>
      <c r="D74" t="b" s="127">
        <v>0</v>
      </c>
      <c r="E74" t="b" s="127">
        <v>0</v>
      </c>
      <c r="F74" s="136"/>
      <c r="G74" t="s" s="128">
        <v>808</v>
      </c>
      <c r="H74" t="s" s="128">
        <v>809</v>
      </c>
      <c r="I74" t="s" s="128">
        <v>573</v>
      </c>
      <c r="J74" s="129">
        <v>1.5</v>
      </c>
      <c r="K74" t="s" s="128">
        <v>810</v>
      </c>
      <c r="L74" s="130">
        <v>8675</v>
      </c>
      <c r="M74" s="131" cm="1">
        <f t="array" ref="M74">_xlfn.IFERROR(K74+L74,50000)</f>
        <v>50000</v>
      </c>
      <c r="N74" s="132"/>
      <c r="O74" s="136"/>
      <c r="P74" s="136"/>
      <c r="Q74" t="s" s="128">
        <v>519</v>
      </c>
      <c r="R74" s="127">
        <v>500</v>
      </c>
      <c r="S74" s="127">
        <v>300</v>
      </c>
      <c r="T74" s="127">
        <v>31</v>
      </c>
      <c r="U74" s="127">
        <v>79</v>
      </c>
      <c r="V74" t="s" s="128">
        <v>524</v>
      </c>
      <c r="W74" s="127" cm="1">
        <f t="array" ref="W74">IF(J74&lt;2.1,1,0)+IF(M74&lt;'Budget - Budget'!$C$3,2,0)+IF(S74&lt;'Invités'!$B$91,0,1)+IF(U74&gt;'Invités'!$P$91,2,0)+IF(V74="Non",0,1)+IF(Q74="Oui",1,0)+IF(P74="Non",2,0)+IF(N74&gt;2,2,0)+IF(M74&gt;15000,-2,0)</f>
        <v>3</v>
      </c>
      <c r="X74" t="b" s="134">
        <v>0</v>
      </c>
    </row>
    <row r="75" ht="8.35" customHeight="1" hidden="1">
      <c r="B75" t="s" s="125">
        <v>811</v>
      </c>
      <c r="C75" t="b" s="126">
        <v>1</v>
      </c>
      <c r="D75" t="b" s="127">
        <v>1</v>
      </c>
      <c r="E75" t="b" s="127">
        <v>0</v>
      </c>
      <c r="F75" s="136"/>
      <c r="G75" t="s" s="128">
        <v>812</v>
      </c>
      <c r="H75" t="s" s="128">
        <v>813</v>
      </c>
      <c r="I75" t="s" s="128">
        <v>517</v>
      </c>
      <c r="J75" s="129">
        <v>1.25</v>
      </c>
      <c r="K75" s="130">
        <v>23820</v>
      </c>
      <c r="L75" s="137"/>
      <c r="M75" s="131" cm="1">
        <f t="array" ref="M75">_xlfn.IFERROR(K75+L75,50000)</f>
        <v>23820</v>
      </c>
      <c r="N75" s="132">
        <v>1</v>
      </c>
      <c r="O75" s="150">
        <v>1</v>
      </c>
      <c r="P75" t="s" s="128">
        <v>519</v>
      </c>
      <c r="Q75" t="s" s="128">
        <v>519</v>
      </c>
      <c r="R75" s="127">
        <v>300</v>
      </c>
      <c r="S75" s="127">
        <v>250</v>
      </c>
      <c r="T75" s="127">
        <v>22</v>
      </c>
      <c r="U75" s="127">
        <v>50</v>
      </c>
      <c r="V75" t="s" s="128">
        <v>524</v>
      </c>
      <c r="W75" s="127" cm="1">
        <f t="array" ref="W75">IF(J75&lt;2.1,1,0)+IF(M75&lt;'Budget - Budget'!$C$3,2,0)+IF(S75&lt;'Invités'!$B$91,0,1)+IF(U75&gt;'Invités'!$P$91,2,0)+IF(V75="Non",0,1)+IF(Q75="Oui",1,0)+IF(P75="Non",2,0)+IF(N75&gt;2,2,0)+IF(M75&gt;15000,-2,0)</f>
        <v>3</v>
      </c>
      <c r="X75" t="b" s="134">
        <v>0</v>
      </c>
    </row>
    <row r="76" ht="8.35" customHeight="1" hidden="1">
      <c r="B76" t="s" s="125">
        <v>814</v>
      </c>
      <c r="C76" t="b" s="126">
        <v>1</v>
      </c>
      <c r="D76" t="b" s="127">
        <v>1</v>
      </c>
      <c r="E76" t="b" s="127">
        <v>0</v>
      </c>
      <c r="F76" s="136"/>
      <c r="G76" t="s" s="128">
        <v>815</v>
      </c>
      <c r="H76" t="s" s="128">
        <v>816</v>
      </c>
      <c r="I76" t="s" s="128">
        <v>632</v>
      </c>
      <c r="J76" s="129">
        <v>1.58</v>
      </c>
      <c r="K76" s="130" cm="1">
        <f t="array" ref="K76">12100+600</f>
        <v>12700</v>
      </c>
      <c r="L76" s="130">
        <v>3500</v>
      </c>
      <c r="M76" s="131" cm="1">
        <f t="array" ref="M76">_xlfn.IFERROR(K76+L76,50000)</f>
        <v>16200</v>
      </c>
      <c r="N76" s="132">
        <v>3</v>
      </c>
      <c r="O76" t="s" s="145">
        <v>817</v>
      </c>
      <c r="P76" t="s" s="128">
        <v>524</v>
      </c>
      <c r="Q76" t="s" s="128">
        <v>519</v>
      </c>
      <c r="R76" s="127">
        <v>150</v>
      </c>
      <c r="S76" s="127">
        <v>150</v>
      </c>
      <c r="T76" s="127">
        <v>21</v>
      </c>
      <c r="U76" s="127">
        <v>50</v>
      </c>
      <c r="V76" t="s" s="128">
        <v>524</v>
      </c>
      <c r="W76" s="127" cm="1">
        <f t="array" ref="W76">IF(J76&lt;2.1,1,0)+IF(M76&lt;'Budget - Budget'!$C$3,2,0)+IF(S76&lt;'Invités'!$B$91,0,1)+IF(U76&gt;'Invités'!$P$91,2,0)+IF(V76="Non",0,1)+IF(Q76="Oui",1,0)+IF(P76="Non",2,0)+IF(N76&gt;2,2,0)+IF(M76&gt;15000,-2,0)</f>
        <v>5</v>
      </c>
      <c r="X76" t="b" s="134">
        <v>0</v>
      </c>
    </row>
    <row r="77" ht="8.35" customHeight="1" hidden="1">
      <c r="B77" t="s" s="125">
        <v>818</v>
      </c>
      <c r="C77" t="b" s="126">
        <v>1</v>
      </c>
      <c r="D77" t="b" s="127">
        <v>1</v>
      </c>
      <c r="E77" t="b" s="127">
        <v>0</v>
      </c>
      <c r="F77" s="136"/>
      <c r="G77" t="s" s="128">
        <v>819</v>
      </c>
      <c r="H77" t="s" s="128">
        <v>820</v>
      </c>
      <c r="I77" t="s" s="128">
        <v>673</v>
      </c>
      <c r="J77" s="129">
        <v>3.5</v>
      </c>
      <c r="K77" t="s" s="128">
        <v>821</v>
      </c>
      <c r="L77" s="130">
        <v>16000</v>
      </c>
      <c r="M77" s="131" cm="1">
        <f t="array" ref="M77">_xlfn.IFERROR(K77+L77,50000)</f>
        <v>50000</v>
      </c>
      <c r="N77" s="132">
        <v>2</v>
      </c>
      <c r="O77" t="s" s="145">
        <v>822</v>
      </c>
      <c r="P77" t="s" s="128">
        <v>524</v>
      </c>
      <c r="Q77" t="s" s="128">
        <v>519</v>
      </c>
      <c r="R77" s="127">
        <v>150</v>
      </c>
      <c r="S77" s="127">
        <v>120</v>
      </c>
      <c r="T77" s="127">
        <v>37</v>
      </c>
      <c r="U77" s="127">
        <v>71</v>
      </c>
      <c r="V77" t="s" s="128">
        <v>524</v>
      </c>
      <c r="W77" s="127" cm="1">
        <f t="array" ref="W77">IF(J77&lt;2.1,1,0)+IF(M77&lt;'Budget - Budget'!$C$3,2,0)+IF(S77&lt;'Invités'!$B$91,0,1)+IF(U77&gt;'Invités'!$P$91,2,0)+IF(V77="Non",0,1)+IF(Q77="Oui",1,0)+IF(P77="Non",2,0)+IF(N77&gt;2,2,0)+IF(M77&gt;15000,-2,0)</f>
        <v>0</v>
      </c>
      <c r="X77" t="b" s="134">
        <v>0</v>
      </c>
    </row>
    <row r="78" ht="8.35" customHeight="1" hidden="1">
      <c r="B78" t="s" s="125">
        <v>823</v>
      </c>
      <c r="C78" t="b" s="126">
        <v>1</v>
      </c>
      <c r="D78" t="b" s="127">
        <v>1</v>
      </c>
      <c r="E78" t="b" s="127">
        <v>0</v>
      </c>
      <c r="F78" s="136"/>
      <c r="G78" t="s" s="128">
        <v>824</v>
      </c>
      <c r="H78" t="s" s="128">
        <v>825</v>
      </c>
      <c r="I78" t="s" s="128">
        <v>826</v>
      </c>
      <c r="J78" s="129">
        <v>4.5</v>
      </c>
      <c r="K78" s="130">
        <v>18500</v>
      </c>
      <c r="L78" s="130">
        <v>0</v>
      </c>
      <c r="M78" s="131" cm="1">
        <f t="array" ref="M78">_xlfn.IFERROR(K78+L78,50000)</f>
        <v>18500</v>
      </c>
      <c r="N78" s="132">
        <v>1</v>
      </c>
      <c r="O78" t="s" s="145">
        <v>827</v>
      </c>
      <c r="P78" t="s" s="128">
        <v>524</v>
      </c>
      <c r="Q78" t="s" s="128">
        <v>519</v>
      </c>
      <c r="R78" s="127">
        <v>180</v>
      </c>
      <c r="S78" s="127">
        <v>180</v>
      </c>
      <c r="T78" s="127">
        <v>60</v>
      </c>
      <c r="U78" s="127">
        <v>110</v>
      </c>
      <c r="V78" t="s" s="128">
        <v>519</v>
      </c>
      <c r="W78" s="127" cm="1">
        <f t="array" ref="W78">IF(J78&lt;2.1,1,0)+IF(M78&lt;'Budget - Budget'!$C$3,2,0)+IF(S78&lt;'Invités'!$B$91,0,1)+IF(U78&gt;'Invités'!$P$91,2,0)+IF(V78="Non",0,1)+IF(Q78="Oui",1,0)+IF(P78="Non",2,0)+IF(N78&gt;2,2,0)+IF(M78&gt;15000,-2,0)</f>
        <v>1</v>
      </c>
      <c r="X78" t="b" s="134">
        <v>0</v>
      </c>
    </row>
    <row r="79" ht="8.35" customHeight="1" hidden="1">
      <c r="B79" t="s" s="125">
        <v>828</v>
      </c>
      <c r="C79" t="b" s="126">
        <v>1</v>
      </c>
      <c r="D79" t="b" s="127">
        <v>1</v>
      </c>
      <c r="E79" t="b" s="127">
        <v>0</v>
      </c>
      <c r="F79" s="136"/>
      <c r="G79" t="s" s="128">
        <v>829</v>
      </c>
      <c r="H79" t="s" s="128">
        <v>830</v>
      </c>
      <c r="I79" t="s" s="128">
        <v>537</v>
      </c>
      <c r="J79" s="129">
        <v>1.75</v>
      </c>
      <c r="K79" s="130">
        <v>19000</v>
      </c>
      <c r="L79" s="137"/>
      <c r="M79" s="131" cm="1">
        <f t="array" ref="M79">_xlfn.IFERROR(K79+L79,50000)</f>
        <v>19000</v>
      </c>
      <c r="N79" s="132">
        <v>1</v>
      </c>
      <c r="O79" t="s" s="145">
        <v>827</v>
      </c>
      <c r="P79" t="s" s="128">
        <v>524</v>
      </c>
      <c r="Q79" t="s" s="128">
        <v>519</v>
      </c>
      <c r="R79" s="127">
        <v>180</v>
      </c>
      <c r="S79" s="127">
        <v>180</v>
      </c>
      <c r="T79" s="127">
        <v>11</v>
      </c>
      <c r="U79" s="127">
        <v>30</v>
      </c>
      <c r="V79" t="s" s="128">
        <v>519</v>
      </c>
      <c r="W79" s="127" cm="1">
        <f t="array" ref="W79">IF(J79&lt;2.1,1,0)+IF(M79&lt;'Budget - Budget'!$C$3,2,0)+IF(S79&lt;'Invités'!$B$91,0,1)+IF(U79&gt;'Invités'!$P$91,2,0)+IF(V79="Non",0,1)+IF(Q79="Oui",1,0)+IF(P79="Non",2,0)+IF(N79&gt;2,2,0)+IF(M79&gt;15000,-2,0)</f>
        <v>0</v>
      </c>
      <c r="X79" t="b" s="134">
        <v>0</v>
      </c>
    </row>
    <row r="80" ht="8.35" customHeight="1" hidden="1">
      <c r="B80" t="s" s="125">
        <v>831</v>
      </c>
      <c r="C80" t="b" s="126">
        <v>1</v>
      </c>
      <c r="D80" t="b" s="127">
        <v>0</v>
      </c>
      <c r="E80" t="b" s="127">
        <v>0</v>
      </c>
      <c r="F80" s="136"/>
      <c r="G80" t="s" s="128">
        <v>832</v>
      </c>
      <c r="H80" t="s" s="128">
        <v>833</v>
      </c>
      <c r="I80" t="s" s="128">
        <v>517</v>
      </c>
      <c r="J80" s="129">
        <v>1.25</v>
      </c>
      <c r="K80" t="s" s="128">
        <v>834</v>
      </c>
      <c r="L80" s="137"/>
      <c r="M80" s="131" cm="1">
        <f t="array" ref="M80">_xlfn.IFERROR(K80+L80,50000)</f>
        <v>50000</v>
      </c>
      <c r="N80" s="132"/>
      <c r="O80" s="155"/>
      <c r="P80" s="136"/>
      <c r="Q80" t="s" s="128">
        <v>519</v>
      </c>
      <c r="R80" s="127">
        <v>180</v>
      </c>
      <c r="S80" s="127">
        <v>140</v>
      </c>
      <c r="T80" s="127">
        <v>10</v>
      </c>
      <c r="U80" s="127">
        <v>44</v>
      </c>
      <c r="V80" t="s" s="128">
        <v>519</v>
      </c>
      <c r="W80" s="127" cm="1">
        <f t="array" ref="W80">IF(J80&lt;2.1,1,0)+IF(M80&lt;'Budget - Budget'!$C$3,2,0)+IF(S80&lt;'Invités'!$B$91,0,1)+IF(U80&gt;'Invités'!$P$91,2,0)+IF(V80="Non",0,1)+IF(Q80="Oui",1,0)+IF(P80="Non",2,0)+IF(N80&gt;2,2,0)+IF(M80&gt;15000,-2,0)</f>
        <v>0</v>
      </c>
      <c r="X80" t="b" s="134">
        <v>0</v>
      </c>
    </row>
    <row r="81" ht="8.35" customHeight="1" hidden="1">
      <c r="B81" t="s" s="125">
        <v>835</v>
      </c>
      <c r="C81" t="b" s="126">
        <v>1</v>
      </c>
      <c r="D81" t="b" s="127">
        <v>1</v>
      </c>
      <c r="E81" t="b" s="127">
        <v>0</v>
      </c>
      <c r="F81" s="136"/>
      <c r="G81" t="s" s="128">
        <v>836</v>
      </c>
      <c r="H81" t="s" s="128">
        <v>837</v>
      </c>
      <c r="I81" t="s" s="128">
        <v>838</v>
      </c>
      <c r="J81" s="129">
        <v>3.75</v>
      </c>
      <c r="K81" s="130">
        <v>17985</v>
      </c>
      <c r="L81" s="130">
        <v>0</v>
      </c>
      <c r="M81" s="131" cm="1">
        <f t="array" ref="M81">_xlfn.IFERROR(K81+L81,50000)</f>
        <v>17985</v>
      </c>
      <c r="N81" s="132">
        <v>3</v>
      </c>
      <c r="O81" t="s" s="145">
        <v>788</v>
      </c>
      <c r="P81" t="s" s="128">
        <v>524</v>
      </c>
      <c r="Q81" t="s" s="128">
        <v>519</v>
      </c>
      <c r="R81" s="127">
        <v>120</v>
      </c>
      <c r="S81" s="127">
        <v>120</v>
      </c>
      <c r="T81" s="127">
        <v>13</v>
      </c>
      <c r="U81" s="127">
        <v>38</v>
      </c>
      <c r="V81" t="s" s="128">
        <v>519</v>
      </c>
      <c r="W81" s="127" cm="1">
        <f t="array" ref="W81">IF(J81&lt;2.1,1,0)+IF(M81&lt;'Budget - Budget'!$C$3,2,0)+IF(S81&lt;'Invités'!$B$91,0,1)+IF(U81&gt;'Invités'!$P$91,2,0)+IF(V81="Non",0,1)+IF(Q81="Oui",1,0)+IF(P81="Non",2,0)+IF(N81&gt;2,2,0)+IF(M81&gt;15000,-2,0)</f>
        <v>1</v>
      </c>
      <c r="X81" t="b" s="134">
        <v>0</v>
      </c>
    </row>
    <row r="82" ht="8.35" customHeight="1" hidden="1">
      <c r="B82" s="156"/>
      <c r="C82" t="b" s="126">
        <v>0</v>
      </c>
      <c r="D82" t="b" s="127">
        <v>0</v>
      </c>
      <c r="E82" t="b" s="127">
        <v>0</v>
      </c>
      <c r="F82" t="b" s="127">
        <v>0</v>
      </c>
      <c r="G82" s="136"/>
      <c r="H82" s="136"/>
      <c r="I82" s="128"/>
      <c r="J82" s="129"/>
      <c r="K82" s="130"/>
      <c r="L82" s="130"/>
      <c r="M82" s="131"/>
      <c r="N82" s="132"/>
      <c r="O82" s="136"/>
      <c r="P82" s="136"/>
      <c r="Q82" s="136"/>
      <c r="R82" s="136"/>
      <c r="S82" s="136"/>
      <c r="T82" s="136"/>
      <c r="U82" s="136"/>
      <c r="V82" s="136"/>
      <c r="W82" s="136"/>
      <c r="X82" t="b" s="134">
        <v>0</v>
      </c>
    </row>
    <row r="83" ht="8.35" customHeight="1" hidden="1">
      <c r="B83" s="156"/>
      <c r="C83" t="b" s="126">
        <v>0</v>
      </c>
      <c r="D83" t="b" s="127">
        <v>0</v>
      </c>
      <c r="E83" t="b" s="127">
        <v>0</v>
      </c>
      <c r="F83" t="b" s="127">
        <v>0</v>
      </c>
      <c r="G83" s="136"/>
      <c r="H83" s="136"/>
      <c r="I83" s="128"/>
      <c r="J83" s="129"/>
      <c r="K83" s="130"/>
      <c r="L83" s="130"/>
      <c r="M83" s="131"/>
      <c r="N83" s="132"/>
      <c r="O83" s="136"/>
      <c r="P83" s="136"/>
      <c r="Q83" s="136"/>
      <c r="R83" s="136"/>
      <c r="S83" s="136"/>
      <c r="T83" s="136"/>
      <c r="U83" s="136"/>
      <c r="V83" s="136"/>
      <c r="W83" s="136"/>
      <c r="X83" t="b" s="134">
        <v>0</v>
      </c>
    </row>
  </sheetData>
  <conditionalFormatting sqref="L3:X4 M5:X8 L9:X13 M14:X14 L15:X15 M16:X16 L17:X18 M19:X22 L23:X23 M24:X25 L26:X26 M27:X28 L29:X29 M30:X34 L35:X35 M36:X37 L38:X38 M39:N45 P39:X40 O41:X45 L46:X46 M47:N48 P47:X47 O48:X48 H49 M49:X52 L53:X54 M55:X57 L58:X58 M59:X60 L61:X61 M62:X63 L64:X64 M65:X65 L66:X67 M68:X68 L69:X69 M70:X70 L71:X72 M73:X74 L75:X77 M78:X78 L79:X80 M81:X81 L82:X83">
    <cfRule type="cellIs" dxfId="12" priority="1" operator="equal" stopIfTrue="1">
      <formula>"Terminé"</formula>
    </cfRule>
    <cfRule type="cellIs" dxfId="13" priority="2" operator="equal" stopIfTrue="1">
      <formula>"En cours"</formula>
    </cfRule>
    <cfRule type="cellIs" dxfId="14" priority="3" operator="equal" stopIfTrue="1">
      <formula>"Non commencé"</formula>
    </cfRule>
  </conditionalFormatting>
  <dataValidations count="1">
    <dataValidation type="list" allowBlank="1" showInputMessage="1" showErrorMessage="1" sqref="O72:O74 O80">
      <formula1>",Non commencé,En cours,Terminé"</formula1>
    </dataValidation>
  </dataValidations>
  <hyperlinks>
    <hyperlink ref="G3" r:id="rId1" location="" tooltip="" display="https://www.mariages.net/domaine-mariage/domaine-de-guerquesalle--e143600"/>
    <hyperlink ref="G4" r:id="rId2" location="" tooltip="" display="https://www.mariages.net/domaine-mariage/domaine-de-meauce--e168716"/>
    <hyperlink ref="G5" r:id="rId3" location="" tooltip="" display="https://www.mariages.net/domaine-mariage/domaine-des-libellules--e386935"/>
    <hyperlink ref="G6" r:id="rId4" location="" tooltip="" display="https://www.mariages.net/domaine-mariage/le-saint-leonard--e358295"/>
    <hyperlink ref="G7" r:id="rId5" location="" tooltip="" display="https://www.mariages.net/domaine-mariage/vaumonteuil--e247147"/>
    <hyperlink ref="G8" r:id="rId6" location="" tooltip="" display="https://www.mariages.net/domaine-mariage/domaine-des-bayettes--e303720"/>
    <hyperlink ref="G9" r:id="rId7" location="" tooltip="" display="https://www.mariages.net/domaine-mariage/la-grange-des-triples--e148536"/>
    <hyperlink ref="G10" r:id="rId8" location="" tooltip="" display="https://www.mariages.net/chateau-mariage/chateau-amecourt--e136220"/>
    <hyperlink ref="G11" r:id="rId9" location="" tooltip="" display="https://www.mariages.net/chateau-mariage/le-chateau-de-motteux--e195221"/>
    <hyperlink ref="G12" r:id="rId10" location="" tooltip="" display="https://www.mariages.net/domaine-mariage/manoir-des-foulons--e8243"/>
    <hyperlink ref="G13" r:id="rId11" location="" tooltip="" display="https://www.mariages.net/domaine-mariage/le-domaine-de-grisien--e381421"/>
    <hyperlink ref="G14" r:id="rId12" location="" tooltip="" display="https://www.mariages.net/salle-mariage/les-jardins-de-josephine--e152850"/>
    <hyperlink ref="G15" r:id="rId13" location="" tooltip="" display="https://www.mariages.net/domaine-mariage/domaine-de-coulonge--e195353"/>
    <hyperlink ref="G16" r:id="rId14" location="" tooltip="" display="https://www.mariages.net/salle-mariage/le-nomade-lodge--e41965"/>
    <hyperlink ref="G17" r:id="rId15" location="" tooltip="" display="https://www.mariages.net/domaine-mariage/la-ferme-darmenon--e151906"/>
    <hyperlink ref="G18" r:id="rId16" location="" tooltip="" display="https://www.mariages.net/domaine-mariage/la-ferme-du-grand-chemin--e102933"/>
    <hyperlink ref="G19" r:id="rId17" location="" tooltip="" display="https://www.mariages.net/domaine-mariage/domaine-des-prevanches--e119212"/>
    <hyperlink ref="G20" r:id="rId18" location="" tooltip="" display="https://www.mariages.net/domaine-mariage/domaine-de-bontemps--e333446"/>
    <hyperlink ref="G21" r:id="rId19" location="" tooltip="" display="https://www.mariages.net/salle-mariage/les-bles-verts--e149476"/>
    <hyperlink ref="G22" r:id="rId20" location="" tooltip="" display="https://www.mariages.net/domaine-mariage/domaine-de-la-croix-sauvalle--e180437"/>
    <hyperlink ref="G23" r:id="rId21" location="" tooltip="" display="https://bridebook.com/fr/wedding-venues/domaine-de-la-voli-re-sainte-maure-de-touraine-indre-et-loire-frBXdAvKg6"/>
    <hyperlink ref="G24" r:id="rId22" location="" tooltip="" display="https://bridebook.com/fr/wedding-venues/pont-chevron-ouzouer-sur-tr-z-e-loiret-frm8zlz2gR"/>
    <hyperlink ref="G25" r:id="rId23" location="" tooltip="" display="https://bridebook.com/fr/wedding-venues/ch-teau-de-laborde-saint-martin-cand-sur-beuvron-loir-et-cher-frA8xEAaX0"/>
    <hyperlink ref="G26" r:id="rId24" location="" tooltip="" display="https://www.mariages.net/domaine-mariage/manoir-de-vacheresses--e148581"/>
    <hyperlink ref="G27" r:id="rId25" location="" tooltip="" display="https://bridebook.com/fr/wedding-venues/chateau-hazeville-wy-dit-joli-village-val-d-oise-fr0X22aBQX"/>
    <hyperlink ref="G28" r:id="rId26" location="" tooltip="" display="https://bridebook.com/fr/wedding-venues/ch-teau-de-villette-sennely-loiret-fr4XD1rLgo"/>
    <hyperlink ref="G29" r:id="rId27" location="" tooltip="" display="https://www.mariages.net/domaine-mariage/le-moulin-de-pommeuse--e155990"/>
    <hyperlink ref="G30" r:id="rId28" location="" tooltip="" display="https://www.mariages.net/domaine-mariage/domaine-des-coccinelles--e235316"/>
    <hyperlink ref="G31" r:id="rId29" location="" tooltip="" display="https://www.mariages.net/domaine-mariage/les-tourelles-de-fonville--e185949"/>
    <hyperlink ref="G32" r:id="rId30" location="" tooltip="" display="https://bridebook.com/fr/shortlist/venues/domaine-de-la-thibaudi-re-faverolles-eure-et-loir-frog49pWYv"/>
    <hyperlink ref="G33" r:id="rId31" location="" tooltip="" display="https://www.mariages.net/domaine-mariage/le-clos-de-lorangerie--e145905"/>
    <hyperlink ref="G34" r:id="rId32" location="" tooltip="" display="https://www.mariages.net/domaine-mariage/lorangerie-de-l-oree-du-bois--e351105"/>
    <hyperlink ref="G35" r:id="rId33" location="" tooltip="" display="https://www.mariages.net/domaine-mariage/domaine-de-saint-vigor--e194877"/>
    <hyperlink ref="G36" r:id="rId34" location="" tooltip="" display="https://www.mariages.net/chateau-mariage/chateau-dhermival--e194737"/>
    <hyperlink ref="G37" r:id="rId35" location="" tooltip="" display="https://www.mariages.net/domaine-mariage/domaine-de-champignolles--e329152"/>
    <hyperlink ref="G38" r:id="rId36" location="" tooltip="" display="https://www.mariages.net/chateau-mariage/chateau-de-maudetour--e137675"/>
    <hyperlink ref="G39" r:id="rId37" location="" tooltip="" display="https://bridebook.com/fr/wedding-venues/ch-teau-de-laverdines-baugy-cher-frqYNwG68V"/>
    <hyperlink ref="G40" r:id="rId38" location="" tooltip="" display="https://bridebook.com/fr/wedding-venues/ch-teau-le-chereau-et-domaine-les-poulti-res-montrieux-en-sologne-loir-et-cher-frEqYZxBX2"/>
    <hyperlink ref="G41" r:id="rId39" location="" tooltip="" display="https://www.mariages.net/domaine-mariage/le-prieure-de-vernelle--e8151"/>
    <hyperlink ref="G42" r:id="rId40" location="" tooltip="" display="https://www.mariages.net/domaine-mariage/abbaye-du-tresor--e311894"/>
    <hyperlink ref="G43" r:id="rId41" location="" tooltip="" display="https://www.mariages.net/domaine-mariage/le-val-gaudry--e277984"/>
    <hyperlink ref="G44" r:id="rId42" location="" tooltip="" display="https://www.mariages.net/domaine-mariage/le-village-de-sully--e159056"/>
    <hyperlink ref="G45" r:id="rId43" location="" tooltip="" display="https://www.mariages.net/chateau-mariage/le-chateau-de-loree-du-bois--e188956"/>
    <hyperlink ref="G46" r:id="rId44" location="" tooltip="" display="https://www.mariages.net/domaine-mariage/la-catrache--e10724"/>
    <hyperlink ref="G47" r:id="rId45" location="" tooltip="" display="https://bridebook.com/fr/wedding-venues/le-domaine-de-vaujoly-courville-sur-eure-eure-et-loir-frEgQ3JQ8J"/>
    <hyperlink ref="G48" r:id="rId46" location="" tooltip="" display="https://www.mariages.net/domaine-mariage/domaine-des-colombes--e318080"/>
    <hyperlink ref="G49" r:id="rId47" location="" tooltip="" display="https://www.mariages.net/domaine-mariage/moulin-de-mistou--e199379"/>
    <hyperlink ref="G50" r:id="rId48" location="" tooltip="" display="https://www.mariages.net/domaine-mariage/hotel-dolce-by-wyndham-versailles-domaine-du-montcel--e302872"/>
    <hyperlink ref="G51" r:id="rId49" location="" tooltip="" display="https://www.mariages.net/chateau-mariage/chateau-barthelemy--e138571"/>
    <hyperlink ref="G52" r:id="rId50" location="" tooltip="" display="https://www.mariages.net/chateau-mariage/chateau-des-hauts-de-provins--e245889"/>
    <hyperlink ref="G53" r:id="rId51" location="" tooltip="" display="https://www.mariages.net/chateau-mariage/le-petit-chateau-de-barbizon--e326194"/>
    <hyperlink ref="G54" r:id="rId52" location="" tooltip="" display="https://www.mariages.net/chateau-mariage/chateau-de-bonaventure--e200469"/>
    <hyperlink ref="G55" r:id="rId53" location="" tooltip="" display="https://bridebook.com/fr/wedding-venues/le-ch-teau-de-beauvois-saint-etienne-de-chigny-indre-et-loire-frqYNej6gV"/>
    <hyperlink ref="G56" r:id="rId54" location="" tooltip="" display="https://www.mariages.net/domaine-mariage/la-dime-de-giverny--e131554"/>
    <hyperlink ref="G57" r:id="rId55" location="" tooltip="" display="https://www.mariages.net/domaine-mariage/le-moulin-de-bully--e90741"/>
    <hyperlink ref="G58" r:id="rId56" location="" tooltip="" display="https://www.mariages.net/domaine-mariage/ferme-dorsonville--e73782"/>
    <hyperlink ref="G59" r:id="rId57" location="" tooltip="" display="https://www.mariages.net/domaine-mariage/chateau-de-cheronne--e7324"/>
    <hyperlink ref="G60" r:id="rId58" location="" tooltip="" display="https://www.imodis.fr/mariage/"/>
    <hyperlink ref="G61" r:id="rId59" location="" tooltip="" display="https://www.mariages.net/domaine-mariage/la-grange-de-bourgoult--e7861"/>
    <hyperlink ref="G62" r:id="rId60" location="" tooltip="" display="https://www.mariages.net/chateau-mariage/chateau-de-serans--e102961"/>
    <hyperlink ref="G63" r:id="rId61" location="" tooltip="" display="https://www.mariages.net/salle-mariage/les-hirondelles--e166480"/>
    <hyperlink ref="G64" r:id="rId62" location="" tooltip="" display="https://www.mariages.net/chateau-mariage/chateau-de-lesigny--e141033"/>
    <hyperlink ref="G65" r:id="rId63" location="" tooltip="" display="https://www.mariages.net/domaine-mariage/la-drille-au-bord-de-leau--e375961?cmp=ADW-SEM-PMAX-VENUES&amp;utm_source=google&amp;utm_medium=paid-search&amp;utm_campaign=VENUES-Pmax-B2C-Marketplace&amp;utm_content=performance_cpm_search-ad_na_na&amp;gclid=CjwKCAiAmp3LBhAkEiwAJM2JUNEIVpgIVYzdvy7q_9B4zPxfdHgglQ1ftklNaVrRq-QAww0pOmo2vBoCLwoQAvD_BwE"/>
    <hyperlink ref="G66" r:id="rId64" location="" tooltip="" display="https://www.mariages.net/domaine-mariage/chateau-de-beauclair--e377467"/>
    <hyperlink ref="G67" r:id="rId65" location="" tooltip="" display="https://www.mariages.net/domaine-mariage/domaine-de-montigny--e180117"/>
    <hyperlink ref="G68" r:id="rId66" location="" tooltip="" display="https://www.mariages.net/domaine-mariage/le-domaine-de-montireau--e156376"/>
    <hyperlink ref="G69" r:id="rId67" location="" tooltip="" display="https://www.mariages.net/domaine-mariage/manoir-de-corny--e327062"/>
    <hyperlink ref="G70" r:id="rId68" location="" tooltip="" display="https://www.mariages.net/domaine-mariage/domaine-des-3-voyages--e157976"/>
    <hyperlink ref="G71" r:id="rId69" location="" tooltip="" display="https://www.mariages.net/domaine-mariage/bona-venture-domaine-des-aulnaies--e282428"/>
    <hyperlink ref="G72" r:id="rId70" location="" tooltip="" display="https://www.mariages.net/chateau-mariage/chateau-de-la-plumasserie--e271241"/>
    <hyperlink ref="G73" r:id="rId71" location="" tooltip="" display="https://www.mariages.net/domaine-mariage/domaine-de-la-vallee-aux-pages--e8171"/>
    <hyperlink ref="G74" r:id="rId72" location="" tooltip="" display="https://bridebook.com/fr/wedding-venues/ch-teau-de-la-trye-hermes-oise-fr0X22ajdX"/>
    <hyperlink ref="G75" r:id="rId73" location="" tooltip="" display="https://www.mariages.net/domaine-mariage/les-hauts-de-pardaillan--e10685"/>
    <hyperlink ref="G76" r:id="rId74" location="" tooltip="" display="https://www.mariages.net/domaine-mariage/le-manoir-de-villefermoy--e254055"/>
    <hyperlink ref="G77" r:id="rId75" location="" tooltip="" display="https://bridebook.com/fr/wedding-venues/ch-teau-de-rochecotte-saint-patrice-indre-et-loire-fr0og4BD8v"/>
    <hyperlink ref="G78" r:id="rId76" location="" tooltip="" display="https://bridebook.com/fr/wedding-venues/kathrin-schleich-ueberherrn--de3jgyo381"/>
    <hyperlink ref="G79" r:id="rId77" location="" tooltip="" display="https://www.mariages.net/domaine-mariage/prieure-de-saint-cyr--e7469"/>
    <hyperlink ref="G80" r:id="rId78" location="" tooltip="" display="https://www.mariages.net/domaine-mariage/le-domaine-de-marolles--e148715"/>
    <hyperlink ref="G81" r:id="rId79" location="" tooltip="" display="https://www.mariages.net/chateau-mariage/chateau-hattonchatel--e122266?cmp=ADW-Reception-Chateau&amp;utm_source=google&amp;utm_medium=paid-search&amp;utm_campaign=B2C-VENUES-Search-Marketplace&amp;utm_content=performance_cpm_search-ad_castle_dsa_premium_na_na&amp;gclid=CjwKCAiAmp3LBhAkEiwAJM2JUJwvaagl9NXPvST7VtZ6s4NFPfu_eoEfYXJsz6sHCX9qSm7Ge9mmORoCUdMQAvD_BwE"/>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E34"/>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30.9688" style="157" customWidth="1"/>
    <col min="2" max="3" width="16.3516" style="157" customWidth="1"/>
    <col min="4" max="4" width="78.5" style="157" customWidth="1"/>
    <col min="5" max="5" width="16.3516" style="157" customWidth="1"/>
    <col min="6" max="16384" width="16.3516" style="157" customWidth="1"/>
  </cols>
  <sheetData>
    <row r="1" ht="20.25" customHeight="1">
      <c r="A1" s="79"/>
      <c r="B1" t="s" s="32">
        <v>840</v>
      </c>
      <c r="C1" t="s" s="32">
        <v>841</v>
      </c>
      <c r="D1" t="s" s="32">
        <v>842</v>
      </c>
      <c r="E1" t="s" s="32">
        <v>498</v>
      </c>
    </row>
    <row r="2" ht="20.25" customHeight="1">
      <c r="A2" t="s" s="47">
        <v>843</v>
      </c>
      <c r="B2" s="158" cm="1">
        <f t="array" ref="B2">SUM(B3:B6)</f>
        <v>26</v>
      </c>
      <c r="C2" s="76" cm="1">
        <f t="array" ref="C2">SUM(C3:C6)</f>
        <v>1190</v>
      </c>
      <c r="D2" s="81"/>
      <c r="E2" s="81"/>
    </row>
    <row r="3" ht="20.05" customHeight="1">
      <c r="A3" t="s" s="159">
        <v>844</v>
      </c>
      <c r="B3" s="160" cm="1">
        <f t="array" ref="B3">C3/45</f>
        <v>21</v>
      </c>
      <c r="C3" s="56">
        <v>945</v>
      </c>
      <c r="D3" t="s" s="16">
        <v>845</v>
      </c>
      <c r="E3" s="19"/>
    </row>
    <row r="4" ht="20.05" customHeight="1">
      <c r="A4" t="s" s="159">
        <v>846</v>
      </c>
      <c r="B4" s="160" cm="1">
        <f t="array" ref="B4">C4/'Invités'!$L$91</f>
        <v>0.510204081632653</v>
      </c>
      <c r="C4" s="56">
        <v>25</v>
      </c>
      <c r="D4" s="19"/>
      <c r="E4" s="19"/>
    </row>
    <row r="5" ht="20.05" customHeight="1">
      <c r="A5" t="s" s="159">
        <v>847</v>
      </c>
      <c r="B5" s="160" cm="1">
        <f t="array" ref="B5">C5/'Invités'!$L$91</f>
        <v>2.44897959183673</v>
      </c>
      <c r="C5" s="56">
        <v>120</v>
      </c>
      <c r="D5" t="s" s="16">
        <v>848</v>
      </c>
      <c r="E5" s="19"/>
    </row>
    <row r="6" ht="20.05" customHeight="1">
      <c r="A6" t="s" s="159">
        <v>849</v>
      </c>
      <c r="B6" s="160" cm="1">
        <f t="array" ref="B6">C6/'Invités'!$L$91</f>
        <v>2.04081632653061</v>
      </c>
      <c r="C6" s="56" cm="1">
        <f t="array" ref="C6">10*10</f>
        <v>100</v>
      </c>
      <c r="D6" s="19"/>
      <c r="E6" s="19"/>
    </row>
    <row r="7" ht="20.05" customHeight="1">
      <c r="A7" t="s" s="52">
        <v>850</v>
      </c>
      <c r="B7" s="161" cm="1">
        <f t="array" ref="B7">SUM(B8:B10)</f>
        <v>6.63265306122449</v>
      </c>
      <c r="C7" s="162" cm="1">
        <f t="array" ref="C7">SUM(C8:C10)</f>
        <v>325</v>
      </c>
      <c r="D7" s="19"/>
      <c r="E7" s="19"/>
    </row>
    <row r="8" ht="20.05" customHeight="1">
      <c r="A8" t="s" s="159">
        <v>851</v>
      </c>
      <c r="B8" s="160" cm="1">
        <f t="array" ref="B8">C8/'Invités'!$L$91</f>
        <v>5.10204081632653</v>
      </c>
      <c r="C8" s="56">
        <v>250</v>
      </c>
      <c r="D8" t="s" s="16">
        <v>852</v>
      </c>
      <c r="E8" s="19"/>
    </row>
    <row r="9" ht="20.05" customHeight="1">
      <c r="A9" t="s" s="159">
        <v>846</v>
      </c>
      <c r="B9" s="160" cm="1">
        <f t="array" ref="B9">C9/'Invités'!$L$91</f>
        <v>0.510204081632653</v>
      </c>
      <c r="C9" s="56">
        <v>25</v>
      </c>
      <c r="D9" s="19"/>
      <c r="E9" s="19"/>
    </row>
    <row r="10" ht="20.05" customHeight="1">
      <c r="A10" t="s" s="159">
        <v>847</v>
      </c>
      <c r="B10" s="160" cm="1">
        <f t="array" ref="B10">C10/'Invités'!$L$91</f>
        <v>1.02040816326531</v>
      </c>
      <c r="C10" s="56">
        <v>50</v>
      </c>
      <c r="D10" s="19"/>
      <c r="E10" s="19"/>
    </row>
    <row r="11" ht="20.05" customHeight="1">
      <c r="A11" t="s" s="52">
        <v>853</v>
      </c>
      <c r="B11" s="161" cm="1">
        <f t="array" ref="B11">SUM(B12:B18)</f>
        <v>119.829391891892</v>
      </c>
      <c r="C11" s="162" cm="1">
        <f t="array" ref="C11">SUM(C12:C18)</f>
        <v>8867.375</v>
      </c>
      <c r="D11" s="19"/>
      <c r="E11" s="19"/>
    </row>
    <row r="12" ht="20.05" customHeight="1">
      <c r="A12" t="s" s="159">
        <v>854</v>
      </c>
      <c r="B12" s="160" cm="1">
        <f t="array" ref="B12">C12/'Invités'!$O$91</f>
        <v>17.7664864864865</v>
      </c>
      <c r="C12" s="56" cm="1">
        <f t="array" ref="C12">'Repas - Gauthier traiteur'!G3+'Repas - Gauthier traiteur'!G20+'Repas - Gauthier traiteur'!G36+'Repas - Gauthier traiteur'!G62</f>
        <v>1314.72</v>
      </c>
      <c r="D12" s="19"/>
      <c r="E12" s="19"/>
    </row>
    <row r="13" ht="20.05" customHeight="1">
      <c r="A13" t="s" s="159">
        <v>177</v>
      </c>
      <c r="B13" s="160" cm="1">
        <f t="array" ref="B13">C13/'Invités'!$O$91</f>
        <v>13.4571621621622</v>
      </c>
      <c r="C13" s="56" cm="1">
        <f t="array" ref="C13">'Repas - Gauthier traiteur'!G71+'Repas - Gauthier traiteur'!G84+'Repas - Gauthier traiteur'!G87+'Repas - Gauthier traiteur'!G98+'Repas - Gauthier traiteur'!G120+'Repas - Gauthier traiteur'!G95+'Repas - Gauthier traiteur'!G133</f>
        <v>995.83</v>
      </c>
      <c r="D13" s="19"/>
      <c r="E13" s="19"/>
    </row>
    <row r="14" ht="20.05" customHeight="1">
      <c r="A14" t="s" s="159">
        <v>855</v>
      </c>
      <c r="B14" s="160" cm="1">
        <f t="array" ref="B14">C14/'Invités'!$O$91</f>
        <v>4.84</v>
      </c>
      <c r="C14" s="56" cm="1">
        <f t="array" ref="C14">'Repas - Gauthier traiteur'!G128</f>
        <v>358.16</v>
      </c>
      <c r="D14" s="19"/>
      <c r="E14" s="19"/>
    </row>
    <row r="15" ht="20.05" customHeight="1">
      <c r="A15" t="s" s="159">
        <v>856</v>
      </c>
      <c r="B15" s="160" cm="1">
        <f t="array" ref="B15">C15/'Invités'!$O$91</f>
        <v>6.325</v>
      </c>
      <c r="C15" s="56" cm="1">
        <f t="array" ref="C15">'Repas - Gauthier traiteur'!G137+'Repas - Gauthier traiteur'!G146+'Repas - Gauthier traiteur'!G154</f>
        <v>468.05</v>
      </c>
      <c r="D15" s="19"/>
      <c r="E15" s="19"/>
    </row>
    <row r="16" ht="20.05" customHeight="1">
      <c r="A16" t="s" s="159">
        <v>857</v>
      </c>
      <c r="B16" s="160" cm="1">
        <f t="array" ref="B16">C16/'Invités'!$O$91</f>
        <v>1.1</v>
      </c>
      <c r="C16" s="56" cm="1">
        <f t="array" ref="C16">'Repas - Gauthier traiteur'!G159</f>
        <v>81.40000000000001</v>
      </c>
      <c r="D16" s="19"/>
      <c r="E16" s="19"/>
    </row>
    <row r="17" ht="20.05" customHeight="1">
      <c r="A17" t="s" s="159">
        <v>858</v>
      </c>
      <c r="B17" s="160" cm="1">
        <f t="array" ref="B17">C17/'Invités'!$O$91</f>
        <v>50.8378378378378</v>
      </c>
      <c r="C17" s="56" cm="1">
        <f t="array" ref="C17">'Repas - Gauthier traiteur'!G189</f>
        <v>3762</v>
      </c>
      <c r="D17" s="19"/>
      <c r="E17" s="19"/>
    </row>
    <row r="18" ht="20.05" customHeight="1">
      <c r="A18" t="s" s="159">
        <v>859</v>
      </c>
      <c r="B18" s="160" cm="1">
        <f t="array" ref="B18">C18/'Invités'!$O$91</f>
        <v>25.5029054054054</v>
      </c>
      <c r="C18" s="56" cm="1">
        <f t="array" ref="C18">'Repas - Gauthier traiteur'!G190</f>
        <v>1887.215</v>
      </c>
      <c r="D18" s="19"/>
      <c r="E18" s="19"/>
    </row>
    <row r="19" ht="20.05" customHeight="1">
      <c r="A19" t="s" s="52">
        <v>860</v>
      </c>
      <c r="B19" s="161" cm="1">
        <f t="array" ref="B19">SUM(B20:B26)</f>
        <v>42.9944705361099</v>
      </c>
      <c r="C19" s="162" cm="1">
        <f t="array" ref="C19">SUM(C20:C26)</f>
        <v>2680.72</v>
      </c>
      <c r="D19" t="s" s="163">
        <v>861</v>
      </c>
      <c r="E19" s="19"/>
    </row>
    <row r="20" ht="20.05" customHeight="1">
      <c r="A20" t="s" s="159">
        <v>862</v>
      </c>
      <c r="B20" s="160" cm="1">
        <f t="array" ref="B20">C20/'Invités'!$O$91</f>
        <v>3.52</v>
      </c>
      <c r="C20" s="56" cm="1">
        <f t="array" ref="C20">'Repas - Gauthier traiteur'!G162</f>
        <v>260.48</v>
      </c>
      <c r="D20" t="s" s="164">
        <v>863</v>
      </c>
      <c r="E20" s="19"/>
    </row>
    <row r="21" ht="20.05" customHeight="1">
      <c r="A21" t="s" s="159">
        <v>864</v>
      </c>
      <c r="B21" s="160" cm="1">
        <f t="array" ref="B21">C21/'Invités'!$R$91</f>
        <v>2.13508196721311</v>
      </c>
      <c r="C21" s="56" cm="1">
        <f t="array" ref="C21">'Repas - Gauthier traiteur'!G164</f>
        <v>130.24</v>
      </c>
      <c r="D21" t="s" s="164">
        <v>865</v>
      </c>
      <c r="E21" s="19"/>
    </row>
    <row r="22" ht="20.05" customHeight="1">
      <c r="A22" t="s" s="159">
        <v>866</v>
      </c>
      <c r="B22" s="160" cm="1">
        <f t="array" ref="B22">C22/'Invités'!O$91</f>
        <v>0.9459459459459461</v>
      </c>
      <c r="C22" s="56">
        <v>70</v>
      </c>
      <c r="D22" t="s" s="16">
        <v>867</v>
      </c>
      <c r="E22" s="19"/>
    </row>
    <row r="23" ht="20.05" customHeight="1">
      <c r="A23" t="s" s="159">
        <v>868</v>
      </c>
      <c r="B23" s="160" cm="1">
        <f t="array" ref="B23">C23/'Invités'!$R$91</f>
        <v>29.5081967213115</v>
      </c>
      <c r="C23" s="56" cm="1">
        <f t="array" ref="C23">30*60</f>
        <v>1800</v>
      </c>
      <c r="D23" t="s" s="16">
        <v>869</v>
      </c>
      <c r="E23" s="19"/>
    </row>
    <row r="24" ht="20.05" customHeight="1">
      <c r="A24" t="s" s="159">
        <v>870</v>
      </c>
      <c r="B24" s="160" cm="1">
        <f t="array" ref="B24">C24/'Invités'!$R$91</f>
        <v>1.9672131147541</v>
      </c>
      <c r="C24" s="56">
        <v>120</v>
      </c>
      <c r="D24" s="19"/>
      <c r="E24" s="19"/>
    </row>
    <row r="25" ht="20.05" customHeight="1">
      <c r="A25" t="s" s="159">
        <v>871</v>
      </c>
      <c r="B25" s="160" cm="1">
        <f t="array" ref="B25">C25/'Invités'!$R$91</f>
        <v>0.9836065573770491</v>
      </c>
      <c r="C25" s="56">
        <v>60</v>
      </c>
      <c r="D25" s="19"/>
      <c r="E25" s="19"/>
    </row>
    <row r="26" ht="20.05" customHeight="1">
      <c r="A26" t="s" s="159">
        <v>872</v>
      </c>
      <c r="B26" s="160" cm="1">
        <f t="array" ref="B26">C26/'Invités'!$R$91</f>
        <v>3.9344262295082</v>
      </c>
      <c r="C26" s="56" cm="1">
        <f t="array" ref="C26">120*2</f>
        <v>240</v>
      </c>
      <c r="D26" s="19"/>
      <c r="E26" s="19"/>
    </row>
    <row r="27" ht="20.05" customHeight="1">
      <c r="A27" t="s" s="52">
        <v>224</v>
      </c>
      <c r="B27" s="161" cm="1">
        <f t="array" ref="B27">SUM(B28:B33)</f>
        <v>43.2153729729729</v>
      </c>
      <c r="C27" s="162" cm="1">
        <f t="array" ref="C27">SUM(C28:C33)</f>
        <v>3841.816</v>
      </c>
      <c r="D27" s="19"/>
      <c r="E27" s="19"/>
    </row>
    <row r="28" ht="20.05" customHeight="1">
      <c r="A28" t="s" s="159">
        <v>873</v>
      </c>
      <c r="B28" s="160" cm="1">
        <f t="array" ref="B28">C28/90</f>
        <v>19.745</v>
      </c>
      <c r="C28" s="56" cm="1">
        <f t="array" ref="C28">'Repas - Gauthier traiteur'!G184</f>
        <v>1777.05</v>
      </c>
      <c r="D28" s="19"/>
      <c r="E28" s="19"/>
    </row>
    <row r="29" ht="20.05" customHeight="1">
      <c r="A29" t="s" s="159">
        <v>858</v>
      </c>
      <c r="B29" s="160" cm="1">
        <f t="array" ref="B29">C29/90</f>
        <v>14.4833333333333</v>
      </c>
      <c r="C29" s="56" cm="1">
        <f t="array" ref="C29">1303.5</f>
        <v>1303.5</v>
      </c>
      <c r="D29" s="19"/>
      <c r="E29" s="19"/>
    </row>
    <row r="30" ht="20.05" customHeight="1">
      <c r="A30" t="s" s="159">
        <v>859</v>
      </c>
      <c r="B30" s="160" cm="1">
        <f t="array" ref="B30">C30/90</f>
        <v>4.25406666666667</v>
      </c>
      <c r="C30" s="56" cm="1">
        <f t="array" ref="C30">(67.5+280.56)*1.1</f>
        <v>382.866</v>
      </c>
      <c r="D30" s="19"/>
      <c r="E30" s="19"/>
    </row>
    <row r="31" ht="20.05" customHeight="1">
      <c r="A31" t="s" s="159">
        <v>874</v>
      </c>
      <c r="B31" s="160" cm="1">
        <f t="array" ref="B31">C31/90</f>
        <v>1.76</v>
      </c>
      <c r="C31" s="56" cm="1">
        <f t="array" ref="C31">1.6*1.1*90</f>
        <v>158.4</v>
      </c>
      <c r="D31" s="19"/>
      <c r="E31" s="19"/>
    </row>
    <row r="32" ht="20.05" customHeight="1">
      <c r="A32" t="s" s="159">
        <v>847</v>
      </c>
      <c r="B32" s="160" cm="1">
        <f t="array" ref="B32">C32/'Invités'!S$91</f>
        <v>1.62162162162162</v>
      </c>
      <c r="C32" s="56">
        <v>120</v>
      </c>
      <c r="D32" s="19"/>
      <c r="E32" s="19"/>
    </row>
    <row r="33" ht="20.25" customHeight="1">
      <c r="A33" t="s" s="165">
        <v>875</v>
      </c>
      <c r="B33" s="166" cm="1">
        <f t="array" ref="B33">C33/'Invités'!S$91</f>
        <v>1.35135135135135</v>
      </c>
      <c r="C33" s="61" cm="1">
        <f t="array" ref="C33">10*10</f>
        <v>100</v>
      </c>
      <c r="D33" s="23"/>
      <c r="E33" s="23"/>
    </row>
    <row r="34" ht="20.25" customHeight="1">
      <c r="A34" s="75"/>
      <c r="B34" s="76" cm="1">
        <f t="array" ref="B34">B11+B19+B27+B7+B2</f>
        <v>238.671888462199</v>
      </c>
      <c r="C34" s="76" cm="1">
        <f t="array" ref="C34">C11+C19+C27+C7+C2</f>
        <v>16904.911</v>
      </c>
      <c r="D34" s="74"/>
      <c r="E34" s="7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2:G19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59.9141" style="167" customWidth="1"/>
    <col min="2" max="7" width="16.3516" style="167" customWidth="1"/>
    <col min="8" max="16384" width="16.3516" style="167" customWidth="1"/>
  </cols>
  <sheetData>
    <row r="1" ht="27.65" customHeight="1">
      <c r="A1" t="s" s="45">
        <v>876</v>
      </c>
      <c r="B1" s="45"/>
      <c r="C1" s="45"/>
      <c r="D1" s="45"/>
      <c r="E1" s="45"/>
      <c r="F1" s="45"/>
      <c r="G1" s="45"/>
    </row>
    <row r="2" ht="40.75" customHeight="1">
      <c r="A2" t="s" s="32">
        <v>878</v>
      </c>
      <c r="B2" t="s" s="32">
        <v>879</v>
      </c>
      <c r="C2" t="s" s="32">
        <v>880</v>
      </c>
      <c r="D2" t="s" s="32">
        <v>881</v>
      </c>
      <c r="E2" t="s" s="32">
        <v>882</v>
      </c>
      <c r="F2" t="s" s="32">
        <v>883</v>
      </c>
      <c r="G2" t="s" s="32">
        <v>884</v>
      </c>
    </row>
    <row r="3" ht="20.25" customHeight="1">
      <c r="A3" t="s" s="168">
        <v>885</v>
      </c>
      <c r="B3" s="169"/>
      <c r="C3" s="170"/>
      <c r="D3" s="170"/>
      <c r="E3" s="170"/>
      <c r="F3" s="171" cm="1">
        <f t="array" ref="F3">SUM(F4:F19)</f>
        <v>523.25</v>
      </c>
      <c r="G3" s="171" cm="1">
        <f t="array" ref="G3">SUM(G4:G19)</f>
        <v>575.575</v>
      </c>
    </row>
    <row r="4" ht="20.05" customHeight="1">
      <c r="A4" t="s" s="52">
        <v>886</v>
      </c>
      <c r="B4" s="160">
        <v>125</v>
      </c>
      <c r="C4" t="s" s="16">
        <v>887</v>
      </c>
      <c r="D4" s="172">
        <v>1</v>
      </c>
      <c r="E4" t="s" s="16">
        <v>524</v>
      </c>
      <c r="F4" s="173" cm="1">
        <f t="array" ref="F4">IF(E4="Oui",B4*D4,0)</f>
        <v>125</v>
      </c>
      <c r="G4" s="173" cm="1">
        <f t="array" ref="G4">F4*1.1</f>
        <v>137.5</v>
      </c>
    </row>
    <row r="5" ht="20.05" customHeight="1">
      <c r="A5" t="s" s="52">
        <v>888</v>
      </c>
      <c r="B5" s="160">
        <v>135</v>
      </c>
      <c r="C5" t="s" s="16">
        <v>887</v>
      </c>
      <c r="D5" s="172">
        <v>0</v>
      </c>
      <c r="E5" t="s" s="16">
        <v>519</v>
      </c>
      <c r="F5" s="173" cm="1">
        <f t="array" ref="F5">IF(E5="Oui",B5*D5,0)</f>
        <v>0</v>
      </c>
      <c r="G5" s="173" cm="1">
        <f t="array" ref="G5">F5*1.1</f>
        <v>0</v>
      </c>
    </row>
    <row r="6" ht="20.05" customHeight="1">
      <c r="A6" t="s" s="52">
        <v>889</v>
      </c>
      <c r="B6" s="160">
        <v>1</v>
      </c>
      <c r="C6" t="s" s="16">
        <v>887</v>
      </c>
      <c r="D6" s="172">
        <v>180</v>
      </c>
      <c r="E6" t="s" s="16">
        <v>524</v>
      </c>
      <c r="F6" s="173" cm="1">
        <f t="array" ref="F6">IF(E6="Oui",B6*D6,0)</f>
        <v>180</v>
      </c>
      <c r="G6" s="173" cm="1">
        <f t="array" ref="G6">F6*1.1</f>
        <v>198</v>
      </c>
    </row>
    <row r="7" ht="20.05" customHeight="1">
      <c r="A7" t="s" s="52">
        <v>890</v>
      </c>
      <c r="B7" s="160">
        <v>1.55</v>
      </c>
      <c r="C7" t="s" s="16">
        <v>887</v>
      </c>
      <c r="D7" s="172">
        <v>0</v>
      </c>
      <c r="E7" t="s" s="16">
        <v>519</v>
      </c>
      <c r="F7" s="173" cm="1">
        <f t="array" ref="F7">IF(E7="Oui",B7*D7,0)</f>
        <v>0</v>
      </c>
      <c r="G7" s="173" cm="1">
        <f t="array" ref="G7">F7*1.1</f>
        <v>0</v>
      </c>
    </row>
    <row r="8" ht="20.05" customHeight="1">
      <c r="A8" t="s" s="52">
        <v>891</v>
      </c>
      <c r="B8" s="160">
        <v>1.3</v>
      </c>
      <c r="C8" t="s" s="16">
        <v>887</v>
      </c>
      <c r="D8" s="172">
        <v>45</v>
      </c>
      <c r="E8" t="s" s="16">
        <v>524</v>
      </c>
      <c r="F8" s="173" cm="1">
        <f t="array" ref="F8">IF(E8="Oui",B8*D8,0)</f>
        <v>58.5</v>
      </c>
      <c r="G8" s="173" cm="1">
        <f t="array" ref="G8">F8*1.1</f>
        <v>64.34999999999999</v>
      </c>
    </row>
    <row r="9" ht="20.05" customHeight="1">
      <c r="A9" t="s" s="52">
        <v>892</v>
      </c>
      <c r="B9" s="160">
        <v>1.3</v>
      </c>
      <c r="C9" t="s" s="16">
        <v>887</v>
      </c>
      <c r="D9" s="172">
        <v>0</v>
      </c>
      <c r="E9" t="s" s="16">
        <v>519</v>
      </c>
      <c r="F9" s="173" cm="1">
        <f t="array" ref="F9">IF(E9="Oui",B9*D9,0)</f>
        <v>0</v>
      </c>
      <c r="G9" s="173" cm="1">
        <f t="array" ref="G9">F9*1.1</f>
        <v>0</v>
      </c>
    </row>
    <row r="10" ht="20.05" customHeight="1">
      <c r="A10" t="s" s="52">
        <v>893</v>
      </c>
      <c r="B10" s="160">
        <v>1.25</v>
      </c>
      <c r="C10" t="s" s="16">
        <v>887</v>
      </c>
      <c r="D10" s="172">
        <v>45</v>
      </c>
      <c r="E10" t="s" s="16">
        <v>519</v>
      </c>
      <c r="F10" s="173" cm="1">
        <f t="array" ref="F10">IF(E10="Oui",B10*D10,0)</f>
        <v>0</v>
      </c>
      <c r="G10" s="173" cm="1">
        <f t="array" ref="G10">F10*1.1</f>
        <v>0</v>
      </c>
    </row>
    <row r="11" ht="20.05" customHeight="1">
      <c r="A11" t="s" s="52">
        <v>894</v>
      </c>
      <c r="B11" s="160">
        <v>1.25</v>
      </c>
      <c r="C11" t="s" s="16">
        <v>887</v>
      </c>
      <c r="D11" s="172">
        <v>45</v>
      </c>
      <c r="E11" t="s" s="16">
        <v>519</v>
      </c>
      <c r="F11" s="173" cm="1">
        <f t="array" ref="F11">IF(E11="Oui",B11*D11,0)</f>
        <v>0</v>
      </c>
      <c r="G11" s="173" cm="1">
        <f t="array" ref="G11">F11*1.1</f>
        <v>0</v>
      </c>
    </row>
    <row r="12" ht="20.05" customHeight="1">
      <c r="A12" t="s" s="52">
        <v>895</v>
      </c>
      <c r="B12" s="160">
        <v>1.3</v>
      </c>
      <c r="C12" t="s" s="16">
        <v>887</v>
      </c>
      <c r="D12" s="172">
        <v>0</v>
      </c>
      <c r="E12" t="s" s="16">
        <v>519</v>
      </c>
      <c r="F12" s="173" cm="1">
        <f t="array" ref="F12">IF(E12="Oui",B12*D12,0)</f>
        <v>0</v>
      </c>
      <c r="G12" s="173" cm="1">
        <f t="array" ref="G12">F12*1.1</f>
        <v>0</v>
      </c>
    </row>
    <row r="13" ht="20.05" customHeight="1">
      <c r="A13" t="s" s="52">
        <v>896</v>
      </c>
      <c r="B13" s="160">
        <v>28.7</v>
      </c>
      <c r="C13" t="s" s="16">
        <v>887</v>
      </c>
      <c r="D13" s="172">
        <v>0</v>
      </c>
      <c r="E13" t="s" s="16">
        <v>519</v>
      </c>
      <c r="F13" s="173" cm="1">
        <f t="array" ref="F13">IF(E13="Oui",B13*D13,0)</f>
        <v>0</v>
      </c>
      <c r="G13" s="173" cm="1">
        <f t="array" ref="G13">F13*1.1</f>
        <v>0</v>
      </c>
    </row>
    <row r="14" ht="20.05" customHeight="1">
      <c r="A14" t="s" s="52">
        <v>897</v>
      </c>
      <c r="B14" s="160">
        <v>1.6</v>
      </c>
      <c r="C14" t="s" s="16">
        <v>887</v>
      </c>
      <c r="D14" s="172">
        <v>45</v>
      </c>
      <c r="E14" t="s" s="16">
        <v>524</v>
      </c>
      <c r="F14" s="173" cm="1">
        <f t="array" ref="F14">IF(E14="Oui",B14*D14,0)</f>
        <v>72</v>
      </c>
      <c r="G14" s="173" cm="1">
        <f t="array" ref="G14">F14*1.1</f>
        <v>79.2</v>
      </c>
    </row>
    <row r="15" ht="20.05" customHeight="1">
      <c r="A15" t="s" s="52">
        <v>898</v>
      </c>
      <c r="B15" s="160">
        <v>1.5</v>
      </c>
      <c r="C15" t="s" s="16">
        <v>887</v>
      </c>
      <c r="D15" s="172">
        <v>45</v>
      </c>
      <c r="E15" t="s" s="16">
        <v>519</v>
      </c>
      <c r="F15" s="173" cm="1">
        <f t="array" ref="F15">IF(E15="Oui",B15*D15,0)</f>
        <v>0</v>
      </c>
      <c r="G15" s="173" cm="1">
        <f t="array" ref="G15">F15*1.1</f>
        <v>0</v>
      </c>
    </row>
    <row r="16" ht="20.05" customHeight="1">
      <c r="A16" t="s" s="52">
        <v>899</v>
      </c>
      <c r="B16" s="160">
        <v>1.95</v>
      </c>
      <c r="C16" t="s" s="16">
        <v>887</v>
      </c>
      <c r="D16" s="172">
        <v>45</v>
      </c>
      <c r="E16" t="s" s="16">
        <v>524</v>
      </c>
      <c r="F16" s="173" cm="1">
        <f t="array" ref="F16">IF(E16="Oui",B16*D16,0)</f>
        <v>87.75</v>
      </c>
      <c r="G16" s="173" cm="1">
        <f t="array" ref="G16">F16*1.1</f>
        <v>96.52500000000001</v>
      </c>
    </row>
    <row r="17" ht="20.05" customHeight="1">
      <c r="A17" t="s" s="52">
        <v>900</v>
      </c>
      <c r="B17" s="160">
        <v>1.75</v>
      </c>
      <c r="C17" t="s" s="16">
        <v>887</v>
      </c>
      <c r="D17" s="172">
        <v>45</v>
      </c>
      <c r="E17" t="s" s="16">
        <v>519</v>
      </c>
      <c r="F17" s="173" cm="1">
        <f t="array" ref="F17">IF(E17="Oui",B17*D17,0)</f>
        <v>0</v>
      </c>
      <c r="G17" s="173" cm="1">
        <f t="array" ref="G17">F17*1.1</f>
        <v>0</v>
      </c>
    </row>
    <row r="18" ht="20.05" customHeight="1">
      <c r="A18" t="s" s="52">
        <v>901</v>
      </c>
      <c r="B18" s="160">
        <v>2</v>
      </c>
      <c r="C18" t="s" s="16">
        <v>887</v>
      </c>
      <c r="D18" s="172">
        <v>0</v>
      </c>
      <c r="E18" t="s" s="16">
        <v>519</v>
      </c>
      <c r="F18" s="173" cm="1">
        <f t="array" ref="F18">IF(E18="Oui",B18*D18,0)</f>
        <v>0</v>
      </c>
      <c r="G18" s="173" cm="1">
        <f t="array" ref="G18">F18*1.1</f>
        <v>0</v>
      </c>
    </row>
    <row r="19" ht="20.05" customHeight="1">
      <c r="A19" t="s" s="52">
        <v>902</v>
      </c>
      <c r="B19" s="160">
        <v>1.35</v>
      </c>
      <c r="C19" t="s" s="16">
        <v>887</v>
      </c>
      <c r="D19" s="172">
        <v>0</v>
      </c>
      <c r="E19" t="s" s="16">
        <v>519</v>
      </c>
      <c r="F19" s="173" cm="1">
        <f t="array" ref="F19">IF(E19="Oui",B19*D19,0)</f>
        <v>0</v>
      </c>
      <c r="G19" s="173" cm="1">
        <f t="array" ref="G19">F19*1.1</f>
        <v>0</v>
      </c>
    </row>
    <row r="20" ht="20.05" customHeight="1">
      <c r="A20" t="s" s="174">
        <v>903</v>
      </c>
      <c r="B20" s="175"/>
      <c r="C20" s="176"/>
      <c r="D20" s="176"/>
      <c r="E20" s="176"/>
      <c r="F20" s="177" cm="1">
        <f t="array" ref="F20">SUM(F21:F35)</f>
        <v>177.75</v>
      </c>
      <c r="G20" s="177" cm="1">
        <f t="array" ref="G20">SUM(G21:G35)</f>
        <v>195.525</v>
      </c>
    </row>
    <row r="21" ht="20.05" customHeight="1">
      <c r="A21" t="s" s="52">
        <v>904</v>
      </c>
      <c r="B21" s="160">
        <v>0.75</v>
      </c>
      <c r="C21" t="s" s="16">
        <v>887</v>
      </c>
      <c r="D21" s="172">
        <v>90</v>
      </c>
      <c r="E21" t="s" s="16">
        <v>524</v>
      </c>
      <c r="F21" s="173" cm="1">
        <f t="array" ref="F21">IF(E21="Oui",B21*D21,0)</f>
        <v>67.5</v>
      </c>
      <c r="G21" s="173" cm="1">
        <f t="array" ref="G21">F21*1.1</f>
        <v>74.25</v>
      </c>
    </row>
    <row r="22" ht="20.05" customHeight="1">
      <c r="A22" t="s" s="52">
        <v>905</v>
      </c>
      <c r="B22" s="160">
        <v>1.2</v>
      </c>
      <c r="C22" t="s" s="16">
        <v>887</v>
      </c>
      <c r="D22" s="172">
        <v>0</v>
      </c>
      <c r="E22" t="s" s="16">
        <v>519</v>
      </c>
      <c r="F22" s="173" cm="1">
        <f t="array" ref="F22">IF(E22="Oui",B22*D22,0)</f>
        <v>0</v>
      </c>
      <c r="G22" s="173" cm="1">
        <f t="array" ref="G22">F22*1.1</f>
        <v>0</v>
      </c>
    </row>
    <row r="23" ht="20.05" customHeight="1">
      <c r="A23" t="s" s="52">
        <v>906</v>
      </c>
      <c r="B23" s="160">
        <v>1.2</v>
      </c>
      <c r="C23" t="s" s="16">
        <v>887</v>
      </c>
      <c r="D23" s="172">
        <v>0</v>
      </c>
      <c r="E23" t="s" s="16">
        <v>519</v>
      </c>
      <c r="F23" s="173" cm="1">
        <f t="array" ref="F23">IF(E23="Oui",B23*D23,0)</f>
        <v>0</v>
      </c>
      <c r="G23" s="173" cm="1">
        <f t="array" ref="G23">F23*1.1</f>
        <v>0</v>
      </c>
    </row>
    <row r="24" ht="20.05" customHeight="1">
      <c r="A24" t="s" s="52">
        <v>907</v>
      </c>
      <c r="B24" s="160">
        <v>1.2</v>
      </c>
      <c r="C24" t="s" s="16">
        <v>887</v>
      </c>
      <c r="D24" s="172">
        <v>45</v>
      </c>
      <c r="E24" t="s" s="16">
        <v>524</v>
      </c>
      <c r="F24" s="173" cm="1">
        <f t="array" ref="F24">IF(E24="Oui",B24*D24,0)</f>
        <v>54</v>
      </c>
      <c r="G24" s="173" cm="1">
        <f t="array" ref="G24">F24*1.1</f>
        <v>59.4</v>
      </c>
    </row>
    <row r="25" ht="20.05" customHeight="1">
      <c r="A25" t="s" s="52">
        <v>908</v>
      </c>
      <c r="B25" s="160">
        <v>1.4</v>
      </c>
      <c r="C25" t="s" s="16">
        <v>887</v>
      </c>
      <c r="D25" s="172">
        <v>0</v>
      </c>
      <c r="E25" t="s" s="16">
        <v>519</v>
      </c>
      <c r="F25" s="173" cm="1">
        <f t="array" ref="F25">IF(E25="Oui",B25*D25,0)</f>
        <v>0</v>
      </c>
      <c r="G25" s="173" cm="1">
        <f t="array" ref="G25">F25*1.1</f>
        <v>0</v>
      </c>
    </row>
    <row r="26" ht="20.05" customHeight="1">
      <c r="A26" t="s" s="52">
        <v>909</v>
      </c>
      <c r="B26" s="160">
        <v>1.95</v>
      </c>
      <c r="C26" t="s" s="16">
        <v>887</v>
      </c>
      <c r="D26" s="172">
        <v>0</v>
      </c>
      <c r="E26" t="s" s="16">
        <v>519</v>
      </c>
      <c r="F26" s="173" cm="1">
        <f t="array" ref="F26">IF(E26="Oui",B26*D26,0)</f>
        <v>0</v>
      </c>
      <c r="G26" s="173" cm="1">
        <f t="array" ref="G26">F26*1.1</f>
        <v>0</v>
      </c>
    </row>
    <row r="27" ht="20.05" customHeight="1">
      <c r="A27" t="s" s="52">
        <v>910</v>
      </c>
      <c r="B27" s="160">
        <v>1.85</v>
      </c>
      <c r="C27" t="s" s="16">
        <v>887</v>
      </c>
      <c r="D27" s="172">
        <v>0</v>
      </c>
      <c r="E27" t="s" s="16">
        <v>519</v>
      </c>
      <c r="F27" s="173" cm="1">
        <f t="array" ref="F27">IF(E27="Oui",B27*D27,0)</f>
        <v>0</v>
      </c>
      <c r="G27" s="173" cm="1">
        <f t="array" ref="G27">F27*1.1</f>
        <v>0</v>
      </c>
    </row>
    <row r="28" ht="20.05" customHeight="1">
      <c r="A28" t="s" s="52">
        <v>911</v>
      </c>
      <c r="B28" s="160">
        <v>1.65</v>
      </c>
      <c r="C28" t="s" s="16">
        <v>887</v>
      </c>
      <c r="D28" s="172">
        <v>45</v>
      </c>
      <c r="E28" t="s" s="16">
        <v>519</v>
      </c>
      <c r="F28" s="173" cm="1">
        <f t="array" ref="F28">IF(E28="Oui",B28*D28,0)</f>
        <v>0</v>
      </c>
      <c r="G28" s="173" cm="1">
        <f t="array" ref="G28">F28*1.1</f>
        <v>0</v>
      </c>
    </row>
    <row r="29" ht="20.05" customHeight="1">
      <c r="A29" t="s" s="52">
        <v>912</v>
      </c>
      <c r="B29" s="160">
        <v>1.75</v>
      </c>
      <c r="C29" t="s" s="16">
        <v>887</v>
      </c>
      <c r="D29" s="172">
        <v>0</v>
      </c>
      <c r="E29" t="s" s="16">
        <v>519</v>
      </c>
      <c r="F29" s="173" cm="1">
        <f t="array" ref="F29">IF(E29="Oui",B29*D29,0)</f>
        <v>0</v>
      </c>
      <c r="G29" s="173" cm="1">
        <f t="array" ref="G29">F29*1.1</f>
        <v>0</v>
      </c>
    </row>
    <row r="30" ht="20.05" customHeight="1">
      <c r="A30" t="s" s="52">
        <v>913</v>
      </c>
      <c r="B30" s="160">
        <v>1.4</v>
      </c>
      <c r="C30" t="s" s="16">
        <v>887</v>
      </c>
      <c r="D30" s="172">
        <v>0</v>
      </c>
      <c r="E30" t="s" s="16">
        <v>519</v>
      </c>
      <c r="F30" s="173" cm="1">
        <f t="array" ref="F30">IF(E30="Oui",B30*D30,0)</f>
        <v>0</v>
      </c>
      <c r="G30" s="173" cm="1">
        <f t="array" ref="G30">F30*1.1</f>
        <v>0</v>
      </c>
    </row>
    <row r="31" ht="20.05" customHeight="1">
      <c r="A31" t="s" s="52">
        <v>914</v>
      </c>
      <c r="B31" s="160">
        <v>1.25</v>
      </c>
      <c r="C31" t="s" s="16">
        <v>887</v>
      </c>
      <c r="D31" s="172">
        <v>45</v>
      </c>
      <c r="E31" t="s" s="16">
        <v>524</v>
      </c>
      <c r="F31" s="173" cm="1">
        <f t="array" ref="F31">IF(E31="Oui",B31*D31,0)</f>
        <v>56.25</v>
      </c>
      <c r="G31" s="173" cm="1">
        <f t="array" ref="G31">F31*1.1</f>
        <v>61.875</v>
      </c>
    </row>
    <row r="32" ht="20.05" customHeight="1">
      <c r="A32" t="s" s="52">
        <v>915</v>
      </c>
      <c r="B32" s="160">
        <v>1.25</v>
      </c>
      <c r="C32" t="s" s="16">
        <v>887</v>
      </c>
      <c r="D32" s="172">
        <v>0</v>
      </c>
      <c r="E32" t="s" s="16">
        <v>519</v>
      </c>
      <c r="F32" s="173" cm="1">
        <f t="array" ref="F32">IF(E32="Oui",B32*D32,0)</f>
        <v>0</v>
      </c>
      <c r="G32" s="173" cm="1">
        <f t="array" ref="G32">F32*1.1</f>
        <v>0</v>
      </c>
    </row>
    <row r="33" ht="20.05" customHeight="1">
      <c r="A33" t="s" s="52">
        <v>916</v>
      </c>
      <c r="B33" s="160">
        <v>1.25</v>
      </c>
      <c r="C33" t="s" s="16">
        <v>887</v>
      </c>
      <c r="D33" s="172">
        <v>0</v>
      </c>
      <c r="E33" t="s" s="16">
        <v>519</v>
      </c>
      <c r="F33" s="173" cm="1">
        <f t="array" ref="F33">IF(E33="Oui",B33*D33,0)</f>
        <v>0</v>
      </c>
      <c r="G33" s="173" cm="1">
        <f t="array" ref="G33">F33*1.1</f>
        <v>0</v>
      </c>
    </row>
    <row r="34" ht="20.05" customHeight="1">
      <c r="A34" t="s" s="52">
        <v>917</v>
      </c>
      <c r="B34" s="160">
        <v>1.85</v>
      </c>
      <c r="C34" t="s" s="16">
        <v>887</v>
      </c>
      <c r="D34" s="172">
        <v>45</v>
      </c>
      <c r="E34" t="s" s="16">
        <v>519</v>
      </c>
      <c r="F34" s="173" cm="1">
        <f t="array" ref="F34">IF(E34="Oui",B34*D34,0)</f>
        <v>0</v>
      </c>
      <c r="G34" s="173" cm="1">
        <f t="array" ref="G34">F34*1.1</f>
        <v>0</v>
      </c>
    </row>
    <row r="35" ht="20.05" customHeight="1">
      <c r="A35" t="s" s="52">
        <v>918</v>
      </c>
      <c r="B35" s="160">
        <v>1.85</v>
      </c>
      <c r="C35" t="s" s="16">
        <v>887</v>
      </c>
      <c r="D35" s="172">
        <v>0</v>
      </c>
      <c r="E35" t="s" s="16">
        <v>519</v>
      </c>
      <c r="F35" s="173" cm="1">
        <f t="array" ref="F35">IF(E35="Oui",B35*D35,0)</f>
        <v>0</v>
      </c>
      <c r="G35" s="173" cm="1">
        <f t="array" ref="G35">F35*1.1</f>
        <v>0</v>
      </c>
    </row>
    <row r="36" ht="20.05" customHeight="1">
      <c r="A36" t="s" s="174">
        <v>919</v>
      </c>
      <c r="B36" s="175"/>
      <c r="C36" s="176"/>
      <c r="D36" s="176"/>
      <c r="E36" s="176"/>
      <c r="F36" s="177" cm="1">
        <f t="array" ref="F36">SUM(F37:F61)</f>
        <v>494.2</v>
      </c>
      <c r="G36" s="177" cm="1">
        <f t="array" ref="G36">SUM(G37:G61)</f>
        <v>543.62</v>
      </c>
    </row>
    <row r="37" ht="20.05" customHeight="1">
      <c r="A37" t="s" s="52">
        <v>920</v>
      </c>
      <c r="B37" s="160">
        <v>1.35</v>
      </c>
      <c r="C37" t="s" s="16">
        <v>887</v>
      </c>
      <c r="D37" s="172">
        <v>180</v>
      </c>
      <c r="E37" t="s" s="16">
        <v>519</v>
      </c>
      <c r="F37" s="173" cm="1">
        <f t="array" ref="F37">IF(E37="Oui",B37*D37,0)</f>
        <v>0</v>
      </c>
      <c r="G37" s="173" cm="1">
        <f t="array" ref="G37">F37*1.1</f>
        <v>0</v>
      </c>
    </row>
    <row r="38" ht="20.05" customHeight="1">
      <c r="A38" t="s" s="52">
        <v>921</v>
      </c>
      <c r="B38" s="160">
        <v>2.05</v>
      </c>
      <c r="C38" t="s" s="16">
        <v>887</v>
      </c>
      <c r="D38" s="172">
        <v>0</v>
      </c>
      <c r="E38" t="s" s="16">
        <v>519</v>
      </c>
      <c r="F38" s="173" cm="1">
        <f t="array" ref="F38">IF(E38="Oui",B38*D38,0)</f>
        <v>0</v>
      </c>
      <c r="G38" s="173" cm="1">
        <f t="array" ref="G38">F38*1.1</f>
        <v>0</v>
      </c>
    </row>
    <row r="39" ht="20.05" customHeight="1">
      <c r="A39" t="s" s="52">
        <v>922</v>
      </c>
      <c r="B39" s="160">
        <v>2.25</v>
      </c>
      <c r="C39" t="s" s="16">
        <v>887</v>
      </c>
      <c r="D39" s="172">
        <v>0</v>
      </c>
      <c r="E39" t="s" s="16">
        <v>519</v>
      </c>
      <c r="F39" s="173" cm="1">
        <f t="array" ref="F39">IF(E39="Oui",B39*D39,0)</f>
        <v>0</v>
      </c>
      <c r="G39" s="173" cm="1">
        <f t="array" ref="G39">F39*1.1</f>
        <v>0</v>
      </c>
    </row>
    <row r="40" ht="20.05" customHeight="1">
      <c r="A40" t="s" s="52">
        <v>923</v>
      </c>
      <c r="B40" s="160">
        <v>1.95</v>
      </c>
      <c r="C40" t="s" s="16">
        <v>887</v>
      </c>
      <c r="D40" s="172">
        <v>0</v>
      </c>
      <c r="E40" t="s" s="16">
        <v>519</v>
      </c>
      <c r="F40" s="173" cm="1">
        <f t="array" ref="F40">IF(E40="Oui",B40*D40,0)</f>
        <v>0</v>
      </c>
      <c r="G40" s="173" cm="1">
        <f t="array" ref="G40">F40*1.1</f>
        <v>0</v>
      </c>
    </row>
    <row r="41" ht="20.05" customHeight="1">
      <c r="A41" t="s" s="52">
        <v>924</v>
      </c>
      <c r="B41" s="160">
        <v>1.85</v>
      </c>
      <c r="C41" t="s" s="16">
        <v>887</v>
      </c>
      <c r="D41" s="172">
        <v>45</v>
      </c>
      <c r="E41" t="s" s="16">
        <v>524</v>
      </c>
      <c r="F41" s="173" cm="1">
        <f t="array" ref="F41">IF(E41="Oui",B41*D41,0)</f>
        <v>83.25</v>
      </c>
      <c r="G41" s="173" cm="1">
        <f t="array" ref="G41">F41*1.1</f>
        <v>91.575</v>
      </c>
    </row>
    <row r="42" ht="20.05" customHeight="1">
      <c r="A42" t="s" s="52">
        <v>925</v>
      </c>
      <c r="B42" s="160">
        <v>105</v>
      </c>
      <c r="C42" t="s" s="16">
        <v>926</v>
      </c>
      <c r="D42" s="178">
        <v>1.35</v>
      </c>
      <c r="E42" t="s" s="16">
        <v>519</v>
      </c>
      <c r="F42" s="173" cm="1">
        <f t="array" ref="F42">IF(E42="Oui",B42*D42,0)</f>
        <v>0</v>
      </c>
      <c r="G42" s="173" cm="1">
        <f t="array" ref="G42">F42*1.1</f>
        <v>0</v>
      </c>
    </row>
    <row r="43" ht="20.05" customHeight="1">
      <c r="A43" t="s" s="52">
        <v>927</v>
      </c>
      <c r="B43" s="160">
        <v>1.8</v>
      </c>
      <c r="C43" t="s" s="16">
        <v>887</v>
      </c>
      <c r="D43" s="172">
        <v>0</v>
      </c>
      <c r="E43" t="s" s="16">
        <v>519</v>
      </c>
      <c r="F43" s="173" cm="1">
        <f t="array" ref="F43">IF(E43="Oui",B43*D43,0)</f>
        <v>0</v>
      </c>
      <c r="G43" s="173" cm="1">
        <f t="array" ref="G43">F43*1.1</f>
        <v>0</v>
      </c>
    </row>
    <row r="44" ht="20.05" customHeight="1">
      <c r="A44" t="s" s="52">
        <v>928</v>
      </c>
      <c r="B44" s="160">
        <v>1.05</v>
      </c>
      <c r="C44" t="s" s="16">
        <v>887</v>
      </c>
      <c r="D44" s="172">
        <v>45</v>
      </c>
      <c r="E44" t="s" s="16">
        <v>519</v>
      </c>
      <c r="F44" s="173" cm="1">
        <f t="array" ref="F44">IF(E44="Oui",B44*D44,0)</f>
        <v>0</v>
      </c>
      <c r="G44" s="173" cm="1">
        <f t="array" ref="G44">F44*1.1</f>
        <v>0</v>
      </c>
    </row>
    <row r="45" ht="20.05" customHeight="1">
      <c r="A45" t="s" s="52">
        <v>929</v>
      </c>
      <c r="B45" s="160">
        <v>1.9</v>
      </c>
      <c r="C45" t="s" s="16">
        <v>887</v>
      </c>
      <c r="D45" s="172">
        <v>0</v>
      </c>
      <c r="E45" t="s" s="16">
        <v>519</v>
      </c>
      <c r="F45" s="173" cm="1">
        <f t="array" ref="F45">IF(E45="Oui",B45*D45,0)</f>
        <v>0</v>
      </c>
      <c r="G45" s="173" cm="1">
        <f t="array" ref="G45">F45*1.1</f>
        <v>0</v>
      </c>
    </row>
    <row r="46" ht="20.05" customHeight="1">
      <c r="A46" t="s" s="52">
        <v>930</v>
      </c>
      <c r="B46" s="160">
        <v>1.95</v>
      </c>
      <c r="C46" t="s" s="16">
        <v>887</v>
      </c>
      <c r="D46" s="172">
        <v>0</v>
      </c>
      <c r="E46" t="s" s="16">
        <v>519</v>
      </c>
      <c r="F46" s="173" cm="1">
        <f t="array" ref="F46">IF(E46="Oui",B46*D46,0)</f>
        <v>0</v>
      </c>
      <c r="G46" s="173" cm="1">
        <f t="array" ref="G46">F46*1.1</f>
        <v>0</v>
      </c>
    </row>
    <row r="47" ht="20.05" customHeight="1">
      <c r="A47" t="s" s="52">
        <v>931</v>
      </c>
      <c r="B47" s="160">
        <v>1.85</v>
      </c>
      <c r="C47" t="s" s="16">
        <v>887</v>
      </c>
      <c r="D47" s="172">
        <v>0</v>
      </c>
      <c r="E47" t="s" s="16">
        <v>519</v>
      </c>
      <c r="F47" s="173" cm="1">
        <f t="array" ref="F47">IF(E47="Oui",B47*D47,0)</f>
        <v>0</v>
      </c>
      <c r="G47" s="173" cm="1">
        <f t="array" ref="G47">F47*1.1</f>
        <v>0</v>
      </c>
    </row>
    <row r="48" ht="20.05" customHeight="1">
      <c r="A48" t="s" s="52">
        <v>932</v>
      </c>
      <c r="B48" s="160">
        <v>1.6</v>
      </c>
      <c r="C48" t="s" s="16">
        <v>887</v>
      </c>
      <c r="D48" s="172">
        <v>0</v>
      </c>
      <c r="E48" t="s" s="16">
        <v>519</v>
      </c>
      <c r="F48" s="173" cm="1">
        <f t="array" ref="F48">IF(E48="Oui",B48*D48,0)</f>
        <v>0</v>
      </c>
      <c r="G48" s="173" cm="1">
        <f t="array" ref="G48">F48*1.1</f>
        <v>0</v>
      </c>
    </row>
    <row r="49" ht="20.05" customHeight="1">
      <c r="A49" t="s" s="52">
        <v>933</v>
      </c>
      <c r="B49" s="160">
        <v>1.95</v>
      </c>
      <c r="C49" t="s" s="16">
        <v>887</v>
      </c>
      <c r="D49" s="172">
        <v>0</v>
      </c>
      <c r="E49" t="s" s="16">
        <v>519</v>
      </c>
      <c r="F49" s="173" cm="1">
        <f t="array" ref="F49">IF(E49="Oui",B49*D49,0)</f>
        <v>0</v>
      </c>
      <c r="G49" s="173" cm="1">
        <f t="array" ref="G49">F49*1.1</f>
        <v>0</v>
      </c>
    </row>
    <row r="50" ht="20.05" customHeight="1">
      <c r="A50" t="s" s="52">
        <v>934</v>
      </c>
      <c r="B50" s="160">
        <v>2.2</v>
      </c>
      <c r="C50" t="s" s="16">
        <v>887</v>
      </c>
      <c r="D50" s="172">
        <v>0</v>
      </c>
      <c r="E50" t="s" s="16">
        <v>519</v>
      </c>
      <c r="F50" s="173" cm="1">
        <f t="array" ref="F50">IF(E50="Oui",B50*D50,0)</f>
        <v>0</v>
      </c>
      <c r="G50" s="173" cm="1">
        <f t="array" ref="G50">F50*1.1</f>
        <v>0</v>
      </c>
    </row>
    <row r="51" ht="20.05" customHeight="1">
      <c r="A51" t="s" s="52">
        <v>935</v>
      </c>
      <c r="B51" s="160">
        <v>1.95</v>
      </c>
      <c r="C51" t="s" s="16">
        <v>887</v>
      </c>
      <c r="D51" s="172">
        <v>45</v>
      </c>
      <c r="E51" t="s" s="16">
        <v>524</v>
      </c>
      <c r="F51" s="173" cm="1">
        <f t="array" ref="F51">IF(E51="Oui",B51*D51,0)</f>
        <v>87.75</v>
      </c>
      <c r="G51" s="173" cm="1">
        <f t="array" ref="G51">F51*1.1</f>
        <v>96.52500000000001</v>
      </c>
    </row>
    <row r="52" ht="20.05" customHeight="1">
      <c r="A52" t="s" s="52">
        <v>936</v>
      </c>
      <c r="B52" s="160">
        <v>1.85</v>
      </c>
      <c r="C52" t="s" s="16">
        <v>887</v>
      </c>
      <c r="D52" s="172">
        <v>0</v>
      </c>
      <c r="E52" t="s" s="16">
        <v>519</v>
      </c>
      <c r="F52" s="173" cm="1">
        <f t="array" ref="F52">IF(E52="Oui",B52*D52,0)</f>
        <v>0</v>
      </c>
      <c r="G52" s="173" cm="1">
        <f t="array" ref="G52">F52*1.1</f>
        <v>0</v>
      </c>
    </row>
    <row r="53" ht="20.05" customHeight="1">
      <c r="A53" t="s" s="52">
        <v>937</v>
      </c>
      <c r="B53" s="160">
        <v>1.95</v>
      </c>
      <c r="C53" t="s" s="16">
        <v>887</v>
      </c>
      <c r="D53" s="172">
        <v>0</v>
      </c>
      <c r="E53" t="s" s="16">
        <v>519</v>
      </c>
      <c r="F53" s="173" cm="1">
        <f t="array" ref="F53">IF(E53="Oui",B53*D53,0)</f>
        <v>0</v>
      </c>
      <c r="G53" s="173" cm="1">
        <f t="array" ref="G53">F53*1.1</f>
        <v>0</v>
      </c>
    </row>
    <row r="54" ht="20.05" customHeight="1">
      <c r="A54" t="s" s="52">
        <v>938</v>
      </c>
      <c r="B54" s="160">
        <v>2.1</v>
      </c>
      <c r="C54" t="s" s="16">
        <v>887</v>
      </c>
      <c r="D54" s="172">
        <v>0</v>
      </c>
      <c r="E54" t="s" s="16">
        <v>519</v>
      </c>
      <c r="F54" s="173" cm="1">
        <f t="array" ref="F54">IF(E54="Oui",B54*D54,0)</f>
        <v>0</v>
      </c>
      <c r="G54" s="173" cm="1">
        <f t="array" ref="G54">F54*1.1</f>
        <v>0</v>
      </c>
    </row>
    <row r="55" ht="20.05" customHeight="1">
      <c r="A55" t="s" s="52">
        <v>939</v>
      </c>
      <c r="B55" s="160">
        <v>1.85</v>
      </c>
      <c r="C55" t="s" s="16">
        <v>887</v>
      </c>
      <c r="D55" s="172">
        <v>0</v>
      </c>
      <c r="E55" t="s" s="16">
        <v>519</v>
      </c>
      <c r="F55" s="173" cm="1">
        <f t="array" ref="F55">IF(E55="Oui",B55*D55,0)</f>
        <v>0</v>
      </c>
      <c r="G55" s="173" cm="1">
        <f t="array" ref="G55">F55*1.1</f>
        <v>0</v>
      </c>
    </row>
    <row r="56" ht="20.05" customHeight="1">
      <c r="A56" t="s" s="52">
        <v>940</v>
      </c>
      <c r="B56" s="160">
        <v>1.85</v>
      </c>
      <c r="C56" t="s" s="16">
        <v>887</v>
      </c>
      <c r="D56" s="172">
        <v>0</v>
      </c>
      <c r="E56" t="s" s="16">
        <v>519</v>
      </c>
      <c r="F56" s="173" cm="1">
        <f t="array" ref="F56">IF(E56="Oui",B56*D56,0)</f>
        <v>0</v>
      </c>
      <c r="G56" s="173" cm="1">
        <f t="array" ref="G56">F56*1.1</f>
        <v>0</v>
      </c>
    </row>
    <row r="57" ht="20.05" customHeight="1">
      <c r="A57" t="s" s="52">
        <v>941</v>
      </c>
      <c r="B57" s="160">
        <v>1.85</v>
      </c>
      <c r="C57" t="s" s="16">
        <v>887</v>
      </c>
      <c r="D57" s="172">
        <v>0</v>
      </c>
      <c r="E57" t="s" s="16">
        <v>519</v>
      </c>
      <c r="F57" s="173" cm="1">
        <f t="array" ref="F57">IF(E57="Oui",B57*D57,0)</f>
        <v>0</v>
      </c>
      <c r="G57" s="173" cm="1">
        <f t="array" ref="G57">F57*1.1</f>
        <v>0</v>
      </c>
    </row>
    <row r="58" ht="20.05" customHeight="1">
      <c r="A58" t="s" s="52">
        <v>942</v>
      </c>
      <c r="B58" s="160">
        <v>235</v>
      </c>
      <c r="C58" t="s" s="16">
        <v>887</v>
      </c>
      <c r="D58" s="172">
        <v>1</v>
      </c>
      <c r="E58" t="s" s="16">
        <v>524</v>
      </c>
      <c r="F58" s="173" cm="1">
        <f t="array" ref="F58">IF(E58="Oui",B58*D58,0)</f>
        <v>235</v>
      </c>
      <c r="G58" s="173" cm="1">
        <f t="array" ref="G58">F58*1.1</f>
        <v>258.5</v>
      </c>
    </row>
    <row r="59" ht="20.05" customHeight="1">
      <c r="A59" t="s" s="52">
        <v>943</v>
      </c>
      <c r="B59" s="160">
        <v>0.98</v>
      </c>
      <c r="C59" t="s" s="16">
        <v>887</v>
      </c>
      <c r="D59" s="172">
        <v>45</v>
      </c>
      <c r="E59" t="s" s="16">
        <v>524</v>
      </c>
      <c r="F59" s="173" cm="1">
        <f t="array" ref="F59">IF(E59="Oui",B59*D59,0)</f>
        <v>44.1</v>
      </c>
      <c r="G59" s="173" cm="1">
        <f t="array" ref="G59">F59*1.1</f>
        <v>48.51</v>
      </c>
    </row>
    <row r="60" ht="20.05" customHeight="1">
      <c r="A60" t="s" s="52">
        <v>944</v>
      </c>
      <c r="B60" s="160">
        <v>565</v>
      </c>
      <c r="C60" t="s" s="16">
        <v>887</v>
      </c>
      <c r="D60" s="172">
        <v>0</v>
      </c>
      <c r="E60" t="s" s="16">
        <v>519</v>
      </c>
      <c r="F60" s="173" cm="1">
        <f t="array" ref="F60">IF(E60="Oui",B60*D60,0)</f>
        <v>0</v>
      </c>
      <c r="G60" s="173" cm="1">
        <f t="array" ref="G60">F60*1.1</f>
        <v>0</v>
      </c>
    </row>
    <row r="61" ht="20.05" customHeight="1">
      <c r="A61" t="s" s="52">
        <v>945</v>
      </c>
      <c r="B61" s="160">
        <v>0.98</v>
      </c>
      <c r="C61" t="s" s="16">
        <v>887</v>
      </c>
      <c r="D61" s="172">
        <v>45</v>
      </c>
      <c r="E61" t="s" s="16">
        <v>524</v>
      </c>
      <c r="F61" s="173" cm="1">
        <f t="array" ref="F61">IF(E61="Oui",B61*D61,0)</f>
        <v>44.1</v>
      </c>
      <c r="G61" s="173" cm="1">
        <f t="array" ref="G61">F61*1.1</f>
        <v>48.51</v>
      </c>
    </row>
    <row r="62" ht="20.05" customHeight="1">
      <c r="A62" t="s" s="174">
        <v>946</v>
      </c>
      <c r="B62" s="175"/>
      <c r="C62" s="176"/>
      <c r="D62" s="176"/>
      <c r="E62" s="176"/>
      <c r="F62" s="177" cm="1">
        <f t="array" ref="F62">SUM(F63:F70)</f>
        <v>0</v>
      </c>
      <c r="G62" s="177" cm="1">
        <f t="array" ref="G62">SUM(G63:G70)</f>
        <v>0</v>
      </c>
    </row>
    <row r="63" ht="20.05" customHeight="1">
      <c r="A63" t="s" s="52">
        <v>947</v>
      </c>
      <c r="B63" s="160">
        <v>4.6</v>
      </c>
      <c r="C63" t="s" s="16">
        <v>948</v>
      </c>
      <c r="D63" s="172">
        <v>0</v>
      </c>
      <c r="E63" t="s" s="16">
        <v>519</v>
      </c>
      <c r="F63" s="173" cm="1">
        <f t="array" ref="F63">IF(E63="Oui",B63*D63,0)</f>
        <v>0</v>
      </c>
      <c r="G63" s="173" cm="1">
        <f t="array" ref="G63">F63*1.1</f>
        <v>0</v>
      </c>
    </row>
    <row r="64" ht="20.05" customHeight="1">
      <c r="A64" t="s" s="52">
        <v>949</v>
      </c>
      <c r="B64" s="160">
        <v>1.35</v>
      </c>
      <c r="C64" t="s" s="16">
        <v>887</v>
      </c>
      <c r="D64" s="172">
        <v>0</v>
      </c>
      <c r="E64" t="s" s="16">
        <v>519</v>
      </c>
      <c r="F64" s="173" cm="1">
        <f t="array" ref="F64">IF(E64="Oui",B64*D64,0)</f>
        <v>0</v>
      </c>
      <c r="G64" s="173" cm="1">
        <f t="array" ref="G64">F64*1.1</f>
        <v>0</v>
      </c>
    </row>
    <row r="65" ht="20.05" customHeight="1">
      <c r="A65" t="s" s="52">
        <v>950</v>
      </c>
      <c r="B65" s="160">
        <v>1.1</v>
      </c>
      <c r="C65" t="s" s="16">
        <v>887</v>
      </c>
      <c r="D65" s="172">
        <v>0</v>
      </c>
      <c r="E65" t="s" s="16">
        <v>519</v>
      </c>
      <c r="F65" s="173" cm="1">
        <f t="array" ref="F65">IF(E65="Oui",B65*D65,0)</f>
        <v>0</v>
      </c>
      <c r="G65" s="173" cm="1">
        <f t="array" ref="G65">F65*1.1</f>
        <v>0</v>
      </c>
    </row>
    <row r="66" ht="20.05" customHeight="1">
      <c r="A66" t="s" s="52">
        <v>951</v>
      </c>
      <c r="B66" s="160">
        <v>1.4</v>
      </c>
      <c r="C66" t="s" s="16">
        <v>887</v>
      </c>
      <c r="D66" s="172">
        <v>0</v>
      </c>
      <c r="E66" t="s" s="16">
        <v>519</v>
      </c>
      <c r="F66" s="173" cm="1">
        <f t="array" ref="F66">IF(E66="Oui",B66*D66,0)</f>
        <v>0</v>
      </c>
      <c r="G66" s="173" cm="1">
        <f t="array" ref="G66">F66*1.1</f>
        <v>0</v>
      </c>
    </row>
    <row r="67" ht="20.05" customHeight="1">
      <c r="A67" t="s" s="52">
        <v>952</v>
      </c>
      <c r="B67" s="160">
        <v>0.95</v>
      </c>
      <c r="C67" t="s" s="16">
        <v>887</v>
      </c>
      <c r="D67" s="172">
        <v>0</v>
      </c>
      <c r="E67" t="s" s="16">
        <v>519</v>
      </c>
      <c r="F67" s="173" cm="1">
        <f t="array" ref="F67">IF(E67="Oui",B67*D67,0)</f>
        <v>0</v>
      </c>
      <c r="G67" s="173" cm="1">
        <f t="array" ref="G67">F67*1.1</f>
        <v>0</v>
      </c>
    </row>
    <row r="68" ht="20.05" customHeight="1">
      <c r="A68" t="s" s="52">
        <v>953</v>
      </c>
      <c r="B68" s="160">
        <v>45.5</v>
      </c>
      <c r="C68" t="s" s="16">
        <v>887</v>
      </c>
      <c r="D68" s="172">
        <v>0</v>
      </c>
      <c r="E68" t="s" s="16">
        <v>519</v>
      </c>
      <c r="F68" s="173" cm="1">
        <f t="array" ref="F68">IF(E68="Oui",B68*D68,0)</f>
        <v>0</v>
      </c>
      <c r="G68" s="173" cm="1">
        <f t="array" ref="G68">F68*1.1</f>
        <v>0</v>
      </c>
    </row>
    <row r="69" ht="20.05" customHeight="1">
      <c r="A69" t="s" s="52">
        <v>954</v>
      </c>
      <c r="B69" s="160">
        <v>1.1</v>
      </c>
      <c r="C69" t="s" s="16">
        <v>887</v>
      </c>
      <c r="D69" s="172">
        <v>0</v>
      </c>
      <c r="E69" t="s" s="16">
        <v>519</v>
      </c>
      <c r="F69" s="173" cm="1">
        <f t="array" ref="F69">IF(E69="Oui",B69*D69,0)</f>
        <v>0</v>
      </c>
      <c r="G69" s="173" cm="1">
        <f t="array" ref="G69">F69*1.1</f>
        <v>0</v>
      </c>
    </row>
    <row r="70" ht="20.05" customHeight="1">
      <c r="A70" t="s" s="52">
        <v>955</v>
      </c>
      <c r="B70" s="160">
        <v>1</v>
      </c>
      <c r="C70" t="s" s="16">
        <v>887</v>
      </c>
      <c r="D70" s="172">
        <v>0</v>
      </c>
      <c r="E70" t="s" s="16">
        <v>519</v>
      </c>
      <c r="F70" s="173" cm="1">
        <f t="array" ref="F70">IF(E70="Oui",B70*D70,0)</f>
        <v>0</v>
      </c>
      <c r="G70" s="173" cm="1">
        <f t="array" ref="G70">F70*1.1</f>
        <v>0</v>
      </c>
    </row>
    <row r="71" ht="20.05" customHeight="1">
      <c r="A71" t="s" s="174">
        <v>956</v>
      </c>
      <c r="B71" s="175"/>
      <c r="C71" s="176"/>
      <c r="D71" s="176"/>
      <c r="E71" s="176"/>
      <c r="F71" s="177" cm="1">
        <f t="array" ref="F71">SUM(F72:F83)</f>
        <v>0</v>
      </c>
      <c r="G71" s="177" cm="1">
        <f t="array" ref="G71">SUM(G72:G83)</f>
        <v>0</v>
      </c>
    </row>
    <row r="72" ht="20.05" customHeight="1">
      <c r="A72" t="s" s="52">
        <v>957</v>
      </c>
      <c r="B72" s="160">
        <v>4.2</v>
      </c>
      <c r="C72" t="s" s="16">
        <v>948</v>
      </c>
      <c r="D72" s="172" cm="1">
        <f t="array" ref="D72">'Invités'!$O$91</f>
        <v>74</v>
      </c>
      <c r="E72" t="s" s="16">
        <v>519</v>
      </c>
      <c r="F72" s="173" cm="1">
        <f t="array" ref="F72">IF(E72="Oui",B72*D72,0)</f>
        <v>0</v>
      </c>
      <c r="G72" s="173" cm="1">
        <f t="array" ref="G72">F72*1.1</f>
        <v>0</v>
      </c>
    </row>
    <row r="73" ht="20.05" customHeight="1">
      <c r="A73" t="s" s="52">
        <v>958</v>
      </c>
      <c r="B73" s="160">
        <v>4.4</v>
      </c>
      <c r="C73" t="s" s="16">
        <v>948</v>
      </c>
      <c r="D73" s="172" cm="1">
        <f t="array" ref="D73">'Invités'!$O$91</f>
        <v>74</v>
      </c>
      <c r="E73" t="s" s="16">
        <v>519</v>
      </c>
      <c r="F73" s="173" cm="1">
        <f t="array" ref="F73">IF(E73="Oui",B73*D73,0)</f>
        <v>0</v>
      </c>
      <c r="G73" s="173" cm="1">
        <f t="array" ref="G73">F73*1.1</f>
        <v>0</v>
      </c>
    </row>
    <row r="74" ht="20.05" customHeight="1">
      <c r="A74" t="s" s="52">
        <v>959</v>
      </c>
      <c r="B74" s="160">
        <v>5.1</v>
      </c>
      <c r="C74" t="s" s="16">
        <v>948</v>
      </c>
      <c r="D74" s="172" cm="1">
        <f t="array" ref="D74">'Invités'!$O$91</f>
        <v>74</v>
      </c>
      <c r="E74" t="s" s="16">
        <v>519</v>
      </c>
      <c r="F74" s="173" cm="1">
        <f t="array" ref="F74">IF(E74="Oui",B74*D74,0)</f>
        <v>0</v>
      </c>
      <c r="G74" s="173" cm="1">
        <f t="array" ref="G74">F74*1.1</f>
        <v>0</v>
      </c>
    </row>
    <row r="75" ht="20.05" customHeight="1">
      <c r="A75" t="s" s="52">
        <v>960</v>
      </c>
      <c r="B75" s="160">
        <v>6.6</v>
      </c>
      <c r="C75" t="s" s="16">
        <v>948</v>
      </c>
      <c r="D75" s="172" cm="1">
        <f t="array" ref="D75">'Invités'!$O$91</f>
        <v>74</v>
      </c>
      <c r="E75" t="s" s="16">
        <v>519</v>
      </c>
      <c r="F75" s="173" cm="1">
        <f t="array" ref="F75">IF(E75="Oui",B75*D75,0)</f>
        <v>0</v>
      </c>
      <c r="G75" s="173" cm="1">
        <f t="array" ref="G75">F75*1.1</f>
        <v>0</v>
      </c>
    </row>
    <row r="76" ht="20.05" customHeight="1">
      <c r="A76" t="s" s="52">
        <v>961</v>
      </c>
      <c r="B76" s="160">
        <v>6.6</v>
      </c>
      <c r="C76" t="s" s="16">
        <v>948</v>
      </c>
      <c r="D76" s="172" cm="1">
        <f t="array" ref="D76">'Invités'!$O$91</f>
        <v>74</v>
      </c>
      <c r="E76" t="s" s="16">
        <v>519</v>
      </c>
      <c r="F76" s="173" cm="1">
        <f t="array" ref="F76">IF(E76="Oui",B76*D76,0)</f>
        <v>0</v>
      </c>
      <c r="G76" s="173" cm="1">
        <f t="array" ref="G76">F76*1.1</f>
        <v>0</v>
      </c>
    </row>
    <row r="77" ht="20.05" customHeight="1">
      <c r="A77" t="s" s="52">
        <v>962</v>
      </c>
      <c r="B77" s="160">
        <v>6.6</v>
      </c>
      <c r="C77" t="s" s="16">
        <v>948</v>
      </c>
      <c r="D77" s="172" cm="1">
        <f t="array" ref="D77">'Invités'!$O$91</f>
        <v>74</v>
      </c>
      <c r="E77" t="s" s="16">
        <v>519</v>
      </c>
      <c r="F77" s="173" cm="1">
        <f t="array" ref="F77">IF(E77="Oui",B77*D77,0)</f>
        <v>0</v>
      </c>
      <c r="G77" s="173" cm="1">
        <f t="array" ref="G77">F77*1.1</f>
        <v>0</v>
      </c>
    </row>
    <row r="78" ht="20.05" customHeight="1">
      <c r="A78" t="s" s="52">
        <v>963</v>
      </c>
      <c r="B78" s="160">
        <v>4.95</v>
      </c>
      <c r="C78" t="s" s="16">
        <v>948</v>
      </c>
      <c r="D78" s="172" cm="1">
        <f t="array" ref="D78">'Invités'!$O$91</f>
        <v>74</v>
      </c>
      <c r="E78" t="s" s="16">
        <v>519</v>
      </c>
      <c r="F78" s="173" cm="1">
        <f t="array" ref="F78">IF(E78="Oui",B78*D78,0)</f>
        <v>0</v>
      </c>
      <c r="G78" s="173" cm="1">
        <f t="array" ref="G78">F78*1.1</f>
        <v>0</v>
      </c>
    </row>
    <row r="79" ht="20.05" customHeight="1">
      <c r="A79" t="s" s="52">
        <v>964</v>
      </c>
      <c r="B79" s="160">
        <v>6.15</v>
      </c>
      <c r="C79" t="s" s="16">
        <v>948</v>
      </c>
      <c r="D79" s="172" cm="1">
        <f t="array" ref="D79">'Invités'!$O$91</f>
        <v>74</v>
      </c>
      <c r="E79" t="s" s="16">
        <v>519</v>
      </c>
      <c r="F79" s="173" cm="1">
        <f t="array" ref="F79">IF(E79="Oui",B79*D79,0)</f>
        <v>0</v>
      </c>
      <c r="G79" s="173" cm="1">
        <f t="array" ref="G79">F79*1.1</f>
        <v>0</v>
      </c>
    </row>
    <row r="80" ht="20.05" customHeight="1">
      <c r="A80" t="s" s="52">
        <v>965</v>
      </c>
      <c r="B80" s="160">
        <v>4.6</v>
      </c>
      <c r="C80" t="s" s="16">
        <v>948</v>
      </c>
      <c r="D80" s="172" cm="1">
        <f t="array" ref="D80">'Invités'!$O$91</f>
        <v>74</v>
      </c>
      <c r="E80" t="s" s="16">
        <v>519</v>
      </c>
      <c r="F80" s="173" cm="1">
        <f t="array" ref="F80">IF(E80="Oui",B80*D80,0)</f>
        <v>0</v>
      </c>
      <c r="G80" s="173" cm="1">
        <f t="array" ref="G80">F80*1.1</f>
        <v>0</v>
      </c>
    </row>
    <row r="81" ht="20.05" customHeight="1">
      <c r="A81" t="s" s="52">
        <v>966</v>
      </c>
      <c r="B81" s="160">
        <v>4.4</v>
      </c>
      <c r="C81" t="s" s="16">
        <v>948</v>
      </c>
      <c r="D81" s="172" cm="1">
        <f t="array" ref="D81">'Invités'!$O$91</f>
        <v>74</v>
      </c>
      <c r="E81" t="s" s="16">
        <v>519</v>
      </c>
      <c r="F81" s="173" cm="1">
        <f t="array" ref="F81">IF(E81="Oui",B81*D81,0)</f>
        <v>0</v>
      </c>
      <c r="G81" s="173" cm="1">
        <f t="array" ref="G81">F81*1.1</f>
        <v>0</v>
      </c>
    </row>
    <row r="82" ht="20.05" customHeight="1">
      <c r="A82" t="s" s="52">
        <v>967</v>
      </c>
      <c r="B82" s="160">
        <v>5.3</v>
      </c>
      <c r="C82" t="s" s="16">
        <v>948</v>
      </c>
      <c r="D82" s="172" cm="1">
        <f t="array" ref="D82">'Invités'!$O$91</f>
        <v>74</v>
      </c>
      <c r="E82" t="s" s="16">
        <v>519</v>
      </c>
      <c r="F82" s="173" cm="1">
        <f t="array" ref="F82">IF(E82="Oui",B82*D82,0)</f>
        <v>0</v>
      </c>
      <c r="G82" s="173" cm="1">
        <f t="array" ref="G82">F82*1.1</f>
        <v>0</v>
      </c>
    </row>
    <row r="83" ht="20.05" customHeight="1">
      <c r="A83" t="s" s="52">
        <v>968</v>
      </c>
      <c r="B83" s="160">
        <v>5.3</v>
      </c>
      <c r="C83" t="s" s="16">
        <v>948</v>
      </c>
      <c r="D83" s="172" cm="1">
        <f t="array" ref="D83">'Invités'!$O$91</f>
        <v>74</v>
      </c>
      <c r="E83" t="s" s="16">
        <v>519</v>
      </c>
      <c r="F83" s="173" cm="1">
        <f t="array" ref="F83">IF(E83="Oui",B83*D83,0)</f>
        <v>0</v>
      </c>
      <c r="G83" s="173" cm="1">
        <f t="array" ref="G83">F83*1.1</f>
        <v>0</v>
      </c>
    </row>
    <row r="84" ht="20.05" customHeight="1">
      <c r="A84" t="s" s="174">
        <v>969</v>
      </c>
      <c r="B84" s="175"/>
      <c r="C84" s="176"/>
      <c r="D84" s="176"/>
      <c r="E84" s="176"/>
      <c r="F84" s="177" cm="1">
        <f t="array" ref="F84">SUM(F85:F86)</f>
        <v>0</v>
      </c>
      <c r="G84" s="177" cm="1">
        <f t="array" ref="G84">SUM(G85:G86)</f>
        <v>0</v>
      </c>
    </row>
    <row r="85" ht="20.05" customHeight="1">
      <c r="A85" t="s" s="52">
        <v>970</v>
      </c>
      <c r="B85" s="160">
        <v>4.8</v>
      </c>
      <c r="C85" t="s" s="16">
        <v>948</v>
      </c>
      <c r="D85" s="172" cm="1">
        <f t="array" ref="D85">'Invités'!$U$91</f>
        <v>1</v>
      </c>
      <c r="E85" t="s" s="16">
        <v>519</v>
      </c>
      <c r="F85" s="173" cm="1">
        <f t="array" ref="F85">IF(E85="Oui",B85*D85,0)</f>
        <v>0</v>
      </c>
      <c r="G85" s="173" cm="1">
        <f t="array" ref="G85">F85*1.1</f>
        <v>0</v>
      </c>
    </row>
    <row r="86" ht="20.05" customHeight="1">
      <c r="A86" t="s" s="52">
        <v>971</v>
      </c>
      <c r="B86" s="160">
        <v>4.8</v>
      </c>
      <c r="C86" t="s" s="16">
        <v>948</v>
      </c>
      <c r="D86" s="172" cm="1">
        <f t="array" ref="D86">'Invités'!$U$91</f>
        <v>1</v>
      </c>
      <c r="E86" t="s" s="16">
        <v>519</v>
      </c>
      <c r="F86" s="173" cm="1">
        <f t="array" ref="F86">IF(E86="Oui",B86*D86,0)</f>
        <v>0</v>
      </c>
      <c r="G86" s="173" cm="1">
        <f t="array" ref="G86">F86*1.1</f>
        <v>0</v>
      </c>
    </row>
    <row r="87" ht="20.05" customHeight="1">
      <c r="A87" t="s" s="174">
        <v>972</v>
      </c>
      <c r="B87" s="175"/>
      <c r="C87" s="176"/>
      <c r="D87" s="176"/>
      <c r="E87" s="176"/>
      <c r="F87" s="177" cm="1">
        <f t="array" ref="F87">SUM(F88:F94)</f>
        <v>0</v>
      </c>
      <c r="G87" s="177" cm="1">
        <f t="array" ref="G87">SUM(G88:G94)</f>
        <v>0</v>
      </c>
    </row>
    <row r="88" ht="20.05" customHeight="1">
      <c r="A88" t="s" s="52">
        <v>973</v>
      </c>
      <c r="B88" s="160">
        <v>10.25</v>
      </c>
      <c r="C88" t="s" s="16">
        <v>948</v>
      </c>
      <c r="D88" s="172" cm="1">
        <f t="array" ref="D88">'Invités'!$O$91</f>
        <v>74</v>
      </c>
      <c r="E88" t="s" s="16">
        <v>519</v>
      </c>
      <c r="F88" s="173" cm="1">
        <f t="array" ref="F88">IF(E88="Oui",B88*D88,0)</f>
        <v>0</v>
      </c>
      <c r="G88" s="173" cm="1">
        <f t="array" ref="G88">F88*1.1</f>
        <v>0</v>
      </c>
    </row>
    <row r="89" ht="20.05" customHeight="1">
      <c r="A89" t="s" s="52">
        <v>974</v>
      </c>
      <c r="B89" s="160">
        <v>10.7</v>
      </c>
      <c r="C89" t="s" s="16">
        <v>948</v>
      </c>
      <c r="D89" s="172" cm="1">
        <f t="array" ref="D89">'Invités'!$O$91</f>
        <v>74</v>
      </c>
      <c r="E89" t="s" s="16">
        <v>519</v>
      </c>
      <c r="F89" s="173" cm="1">
        <f t="array" ref="F89">IF(E89="Oui",B89*D89,0)</f>
        <v>0</v>
      </c>
      <c r="G89" s="173" cm="1">
        <f t="array" ref="G89">F89*1.1</f>
        <v>0</v>
      </c>
    </row>
    <row r="90" ht="20.05" customHeight="1">
      <c r="A90" t="s" s="52">
        <v>975</v>
      </c>
      <c r="B90" s="160">
        <v>10.65</v>
      </c>
      <c r="C90" t="s" s="16">
        <v>948</v>
      </c>
      <c r="D90" s="172" cm="1">
        <f t="array" ref="D90">'Invités'!$O$91</f>
        <v>74</v>
      </c>
      <c r="E90" t="s" s="16">
        <v>519</v>
      </c>
      <c r="F90" s="173" cm="1">
        <f t="array" ref="F90">IF(E90="Oui",B90*D90,0)</f>
        <v>0</v>
      </c>
      <c r="G90" s="173" cm="1">
        <f t="array" ref="G90">F90*1.1</f>
        <v>0</v>
      </c>
    </row>
    <row r="91" ht="20.05" customHeight="1">
      <c r="A91" t="s" s="52">
        <v>976</v>
      </c>
      <c r="B91" s="160">
        <v>10.65</v>
      </c>
      <c r="C91" t="s" s="16">
        <v>948</v>
      </c>
      <c r="D91" s="172" cm="1">
        <f t="array" ref="D91">'Invités'!$O$91</f>
        <v>74</v>
      </c>
      <c r="E91" t="s" s="16">
        <v>519</v>
      </c>
      <c r="F91" s="173" cm="1">
        <f t="array" ref="F91">IF(E91="Oui",B91*D91,0)</f>
        <v>0</v>
      </c>
      <c r="G91" s="173" cm="1">
        <f t="array" ref="G91">F91*1.1</f>
        <v>0</v>
      </c>
    </row>
    <row r="92" ht="20.05" customHeight="1">
      <c r="A92" t="s" s="52">
        <v>977</v>
      </c>
      <c r="B92" s="160">
        <v>10.75</v>
      </c>
      <c r="C92" t="s" s="16">
        <v>948</v>
      </c>
      <c r="D92" s="172" cm="1">
        <f t="array" ref="D92">'Invités'!$O$91</f>
        <v>74</v>
      </c>
      <c r="E92" t="s" s="16">
        <v>519</v>
      </c>
      <c r="F92" s="173" cm="1">
        <f t="array" ref="F92">IF(E92="Oui",B92*D92,0)</f>
        <v>0</v>
      </c>
      <c r="G92" s="173" cm="1">
        <f t="array" ref="G92">F92*1.1</f>
        <v>0</v>
      </c>
    </row>
    <row r="93" ht="20.05" customHeight="1">
      <c r="A93" t="s" s="52">
        <v>978</v>
      </c>
      <c r="B93" s="160">
        <v>11.3</v>
      </c>
      <c r="C93" t="s" s="16">
        <v>948</v>
      </c>
      <c r="D93" s="172" cm="1">
        <f t="array" ref="D93">'Invités'!$O$91</f>
        <v>74</v>
      </c>
      <c r="E93" t="s" s="16">
        <v>519</v>
      </c>
      <c r="F93" s="173" cm="1">
        <f t="array" ref="F93">IF(E93="Oui",B93*D93,0)</f>
        <v>0</v>
      </c>
      <c r="G93" s="173" cm="1">
        <f t="array" ref="G93">F93*1.1</f>
        <v>0</v>
      </c>
    </row>
    <row r="94" ht="20.05" customHeight="1">
      <c r="A94" t="s" s="52">
        <v>979</v>
      </c>
      <c r="B94" s="160">
        <v>16.4</v>
      </c>
      <c r="C94" t="s" s="16">
        <v>948</v>
      </c>
      <c r="D94" s="172" cm="1">
        <f t="array" ref="D94">'Invités'!$O$91</f>
        <v>74</v>
      </c>
      <c r="E94" t="s" s="16">
        <v>519</v>
      </c>
      <c r="F94" s="173" cm="1">
        <f t="array" ref="F94">IF(E94="Oui",B94*D94,0)</f>
        <v>0</v>
      </c>
      <c r="G94" s="173" cm="1">
        <f t="array" ref="G94">F94*1.1</f>
        <v>0</v>
      </c>
    </row>
    <row r="95" ht="20.05" customHeight="1">
      <c r="A95" t="s" s="174">
        <v>980</v>
      </c>
      <c r="B95" s="175"/>
      <c r="C95" s="176"/>
      <c r="D95" s="176"/>
      <c r="E95" s="176"/>
      <c r="F95" s="177" cm="1">
        <f t="array" ref="F95">SUM(F96:F97)</f>
        <v>0</v>
      </c>
      <c r="G95" s="177" cm="1">
        <f t="array" ref="G95">SUM(G96:G97)</f>
        <v>0</v>
      </c>
    </row>
    <row r="96" ht="20.05" customHeight="1">
      <c r="A96" t="s" s="52">
        <v>981</v>
      </c>
      <c r="B96" s="160">
        <v>9</v>
      </c>
      <c r="C96" t="s" s="16">
        <v>948</v>
      </c>
      <c r="D96" s="172" cm="1">
        <f t="array" ref="D96">'Invités'!$U$91</f>
        <v>1</v>
      </c>
      <c r="E96" t="s" s="16">
        <v>519</v>
      </c>
      <c r="F96" s="173" cm="1">
        <f t="array" ref="F96">IF(E96="Oui",B96*D96,0)</f>
        <v>0</v>
      </c>
      <c r="G96" s="173" cm="1">
        <f t="array" ref="G96">F96*1.1</f>
        <v>0</v>
      </c>
    </row>
    <row r="97" ht="20.05" customHeight="1">
      <c r="A97" t="s" s="52">
        <v>982</v>
      </c>
      <c r="B97" s="160">
        <v>9</v>
      </c>
      <c r="C97" t="s" s="16">
        <v>948</v>
      </c>
      <c r="D97" s="172" cm="1">
        <f t="array" ref="D97">'Invités'!$U$91</f>
        <v>1</v>
      </c>
      <c r="E97" t="s" s="16">
        <v>519</v>
      </c>
      <c r="F97" s="173" cm="1">
        <f t="array" ref="F97">IF(E97="Oui",B97*D97,0)</f>
        <v>0</v>
      </c>
      <c r="G97" s="173" cm="1">
        <f t="array" ref="G97">F97*1.1</f>
        <v>0</v>
      </c>
    </row>
    <row r="98" ht="20.05" customHeight="1">
      <c r="A98" t="s" s="174">
        <v>983</v>
      </c>
      <c r="B98" s="175"/>
      <c r="C98" s="176"/>
      <c r="D98" s="176"/>
      <c r="E98" s="176"/>
      <c r="F98" s="177" cm="1">
        <f t="array" ref="F98">SUM(F99:F119)</f>
        <v>795.5</v>
      </c>
      <c r="G98" s="177" cm="1">
        <f t="array" ref="G98">SUM(G99:G119)</f>
        <v>875.05</v>
      </c>
    </row>
    <row r="99" ht="20.05" customHeight="1">
      <c r="A99" t="s" s="52">
        <v>984</v>
      </c>
      <c r="B99" s="160">
        <v>10.75</v>
      </c>
      <c r="C99" t="s" s="16">
        <v>948</v>
      </c>
      <c r="D99" s="172" cm="1">
        <f t="array" ref="D99">'Invités'!$O$91</f>
        <v>74</v>
      </c>
      <c r="E99" t="s" s="16">
        <v>524</v>
      </c>
      <c r="F99" s="173" cm="1">
        <f t="array" ref="F99">IF(E99="Oui",B99*D99,0)</f>
        <v>795.5</v>
      </c>
      <c r="G99" s="173" cm="1">
        <f t="array" ref="G99">F99*1.1</f>
        <v>875.05</v>
      </c>
    </row>
    <row r="100" ht="20.05" customHeight="1">
      <c r="A100" t="s" s="52">
        <v>985</v>
      </c>
      <c r="B100" s="160">
        <v>10.75</v>
      </c>
      <c r="C100" t="s" s="16">
        <v>948</v>
      </c>
      <c r="D100" s="172" cm="1">
        <f t="array" ref="D100">'Invités'!$O$91</f>
        <v>74</v>
      </c>
      <c r="E100" t="s" s="16">
        <v>519</v>
      </c>
      <c r="F100" s="173" cm="1">
        <f t="array" ref="F100">IF(E100="Oui",B100*D100,0)</f>
        <v>0</v>
      </c>
      <c r="G100" s="173" cm="1">
        <f t="array" ref="G100">F100*1.1</f>
        <v>0</v>
      </c>
    </row>
    <row r="101" ht="20.05" customHeight="1">
      <c r="A101" t="s" s="52">
        <v>986</v>
      </c>
      <c r="B101" s="160">
        <v>13.3</v>
      </c>
      <c r="C101" t="s" s="16">
        <v>948</v>
      </c>
      <c r="D101" s="172" cm="1">
        <f t="array" ref="D101">'Invités'!$O$91</f>
        <v>74</v>
      </c>
      <c r="E101" t="s" s="16">
        <v>519</v>
      </c>
      <c r="F101" s="173" cm="1">
        <f t="array" ref="F101">IF(E101="Oui",B101*D101,0)</f>
        <v>0</v>
      </c>
      <c r="G101" s="173" cm="1">
        <f t="array" ref="G101">F101*1.1</f>
        <v>0</v>
      </c>
    </row>
    <row r="102" ht="20.05" customHeight="1">
      <c r="A102" t="s" s="52">
        <v>987</v>
      </c>
      <c r="B102" s="160">
        <v>9.75</v>
      </c>
      <c r="C102" t="s" s="16">
        <v>948</v>
      </c>
      <c r="D102" s="172" cm="1">
        <f t="array" ref="D102">'Invités'!$O$91</f>
        <v>74</v>
      </c>
      <c r="E102" t="s" s="16">
        <v>519</v>
      </c>
      <c r="F102" s="173" cm="1">
        <f t="array" ref="F102">IF(E102="Oui",B102*D102,0)</f>
        <v>0</v>
      </c>
      <c r="G102" s="173" cm="1">
        <f t="array" ref="G102">F102*1.1</f>
        <v>0</v>
      </c>
    </row>
    <row r="103" ht="20.05" customHeight="1">
      <c r="A103" t="s" s="52">
        <v>988</v>
      </c>
      <c r="B103" s="160">
        <v>9.75</v>
      </c>
      <c r="C103" t="s" s="16">
        <v>948</v>
      </c>
      <c r="D103" s="172" cm="1">
        <f t="array" ref="D103">'Invités'!$O$91</f>
        <v>74</v>
      </c>
      <c r="E103" t="s" s="16">
        <v>519</v>
      </c>
      <c r="F103" s="173" cm="1">
        <f t="array" ref="F103">IF(E103="Oui",B103*D103,0)</f>
        <v>0</v>
      </c>
      <c r="G103" s="173" cm="1">
        <f t="array" ref="G103">F103*1.1</f>
        <v>0</v>
      </c>
    </row>
    <row r="104" ht="20.05" customHeight="1">
      <c r="A104" t="s" s="52">
        <v>989</v>
      </c>
      <c r="B104" s="160">
        <v>11.3</v>
      </c>
      <c r="C104" t="s" s="16">
        <v>948</v>
      </c>
      <c r="D104" s="172" cm="1">
        <f t="array" ref="D104">'Invités'!$O$91</f>
        <v>74</v>
      </c>
      <c r="E104" t="s" s="16">
        <v>519</v>
      </c>
      <c r="F104" s="173" cm="1">
        <f t="array" ref="F104">IF(E104="Oui",B104*D104,0)</f>
        <v>0</v>
      </c>
      <c r="G104" s="173" cm="1">
        <f t="array" ref="G104">F104*1.1</f>
        <v>0</v>
      </c>
    </row>
    <row r="105" ht="20.05" customHeight="1">
      <c r="A105" t="s" s="52">
        <v>990</v>
      </c>
      <c r="B105" s="160">
        <v>13.3</v>
      </c>
      <c r="C105" t="s" s="16">
        <v>948</v>
      </c>
      <c r="D105" s="172" cm="1">
        <f t="array" ref="D105">'Invités'!$O$91</f>
        <v>74</v>
      </c>
      <c r="E105" t="s" s="16">
        <v>519</v>
      </c>
      <c r="F105" s="173" cm="1">
        <f t="array" ref="F105">IF(E105="Oui",B105*D105,0)</f>
        <v>0</v>
      </c>
      <c r="G105" s="173" cm="1">
        <f t="array" ref="G105">F105*1.1</f>
        <v>0</v>
      </c>
    </row>
    <row r="106" ht="20.05" customHeight="1">
      <c r="A106" t="s" s="52">
        <v>991</v>
      </c>
      <c r="B106" s="160">
        <v>15.4</v>
      </c>
      <c r="C106" t="s" s="16">
        <v>948</v>
      </c>
      <c r="D106" s="172" cm="1">
        <f t="array" ref="D106">'Invités'!$O$91</f>
        <v>74</v>
      </c>
      <c r="E106" t="s" s="16">
        <v>519</v>
      </c>
      <c r="F106" s="173" cm="1">
        <f t="array" ref="F106">IF(E106="Oui",B106*D106,0)</f>
        <v>0</v>
      </c>
      <c r="G106" s="173" cm="1">
        <f t="array" ref="G106">F106*1.1</f>
        <v>0</v>
      </c>
    </row>
    <row r="107" ht="20.05" customHeight="1">
      <c r="A107" t="s" s="52">
        <v>992</v>
      </c>
      <c r="B107" s="160">
        <v>12.3</v>
      </c>
      <c r="C107" t="s" s="16">
        <v>948</v>
      </c>
      <c r="D107" s="172" cm="1">
        <f t="array" ref="D107">'Invités'!$O$91</f>
        <v>74</v>
      </c>
      <c r="E107" t="s" s="16">
        <v>519</v>
      </c>
      <c r="F107" s="173" cm="1">
        <f t="array" ref="F107">IF(E107="Oui",B107*D107,0)</f>
        <v>0</v>
      </c>
      <c r="G107" s="173" cm="1">
        <f t="array" ref="G107">F107*1.1</f>
        <v>0</v>
      </c>
    </row>
    <row r="108" ht="20.05" customHeight="1">
      <c r="A108" t="s" s="52">
        <v>993</v>
      </c>
      <c r="B108" s="160">
        <v>11.3</v>
      </c>
      <c r="C108" t="s" s="16">
        <v>948</v>
      </c>
      <c r="D108" s="172" cm="1">
        <f t="array" ref="D108">'Invités'!$O$91</f>
        <v>74</v>
      </c>
      <c r="E108" t="s" s="16">
        <v>519</v>
      </c>
      <c r="F108" s="173" cm="1">
        <f t="array" ref="F108">IF(E108="Oui",B108*D108,0)</f>
        <v>0</v>
      </c>
      <c r="G108" s="173" cm="1">
        <f t="array" ref="G108">F108*1.1</f>
        <v>0</v>
      </c>
    </row>
    <row r="109" ht="20.05" customHeight="1">
      <c r="A109" t="s" s="52">
        <v>994</v>
      </c>
      <c r="B109" s="160">
        <v>15.35</v>
      </c>
      <c r="C109" t="s" s="16">
        <v>948</v>
      </c>
      <c r="D109" s="172" cm="1">
        <f t="array" ref="D109">'Invités'!$O$91</f>
        <v>74</v>
      </c>
      <c r="E109" t="s" s="16">
        <v>519</v>
      </c>
      <c r="F109" s="173" cm="1">
        <f t="array" ref="F109">IF(E109="Oui",B109*D109,0)</f>
        <v>0</v>
      </c>
      <c r="G109" s="173" cm="1">
        <f t="array" ref="G109">F109*1.1</f>
        <v>0</v>
      </c>
    </row>
    <row r="110" ht="20.05" customHeight="1">
      <c r="A110" t="s" s="52">
        <v>995</v>
      </c>
      <c r="B110" s="160">
        <v>15.35</v>
      </c>
      <c r="C110" t="s" s="16">
        <v>948</v>
      </c>
      <c r="D110" s="172" cm="1">
        <f t="array" ref="D110">'Invités'!$O$91</f>
        <v>74</v>
      </c>
      <c r="E110" t="s" s="16">
        <v>519</v>
      </c>
      <c r="F110" s="173" cm="1">
        <f t="array" ref="F110">IF(E110="Oui",B110*D110,0)</f>
        <v>0</v>
      </c>
      <c r="G110" s="173" cm="1">
        <f t="array" ref="G110">F110*1.1</f>
        <v>0</v>
      </c>
    </row>
    <row r="111" ht="20.05" customHeight="1">
      <c r="A111" t="s" s="52">
        <v>996</v>
      </c>
      <c r="B111" s="160">
        <v>9.5</v>
      </c>
      <c r="C111" t="s" s="16">
        <v>948</v>
      </c>
      <c r="D111" s="172" cm="1">
        <f t="array" ref="D111">'Invités'!$O$91</f>
        <v>74</v>
      </c>
      <c r="E111" t="s" s="16">
        <v>519</v>
      </c>
      <c r="F111" s="173" cm="1">
        <f t="array" ref="F111">IF(E111="Oui",B111*D111,0)</f>
        <v>0</v>
      </c>
      <c r="G111" s="173" cm="1">
        <f t="array" ref="G111">F111*1.1</f>
        <v>0</v>
      </c>
    </row>
    <row r="112" ht="20.05" customHeight="1">
      <c r="A112" t="s" s="52">
        <v>997</v>
      </c>
      <c r="B112" s="160">
        <v>8.9</v>
      </c>
      <c r="C112" t="s" s="16">
        <v>948</v>
      </c>
      <c r="D112" s="172" cm="1">
        <f t="array" ref="D112">'Invités'!$O$91</f>
        <v>74</v>
      </c>
      <c r="E112" t="s" s="16">
        <v>519</v>
      </c>
      <c r="F112" s="173" cm="1">
        <f t="array" ref="F112">IF(E112="Oui",B112*D112,0)</f>
        <v>0</v>
      </c>
      <c r="G112" s="173" cm="1">
        <f t="array" ref="G112">F112*1.1</f>
        <v>0</v>
      </c>
    </row>
    <row r="113" ht="20.05" customHeight="1">
      <c r="A113" t="s" s="52">
        <v>998</v>
      </c>
      <c r="B113" s="160">
        <v>15.85</v>
      </c>
      <c r="C113" t="s" s="16">
        <v>948</v>
      </c>
      <c r="D113" s="172" cm="1">
        <f t="array" ref="D113">'Invités'!$O$91</f>
        <v>74</v>
      </c>
      <c r="E113" t="s" s="16">
        <v>519</v>
      </c>
      <c r="F113" s="173" cm="1">
        <f t="array" ref="F113">IF(E113="Oui",B113*D113,0)</f>
        <v>0</v>
      </c>
      <c r="G113" s="173" cm="1">
        <f t="array" ref="G113">F113*1.1</f>
        <v>0</v>
      </c>
    </row>
    <row r="114" ht="20.05" customHeight="1">
      <c r="A114" t="s" s="52">
        <v>999</v>
      </c>
      <c r="B114" s="160">
        <v>15.85</v>
      </c>
      <c r="C114" t="s" s="16">
        <v>948</v>
      </c>
      <c r="D114" s="172" cm="1">
        <f t="array" ref="D114">'Invités'!$O$91</f>
        <v>74</v>
      </c>
      <c r="E114" t="s" s="16">
        <v>519</v>
      </c>
      <c r="F114" s="173" cm="1">
        <f t="array" ref="F114">IF(E114="Oui",B114*D114,0)</f>
        <v>0</v>
      </c>
      <c r="G114" s="173" cm="1">
        <f t="array" ref="G114">F114*1.1</f>
        <v>0</v>
      </c>
    </row>
    <row r="115" ht="20.05" customHeight="1">
      <c r="A115" t="s" s="52">
        <v>1000</v>
      </c>
      <c r="B115" s="160">
        <v>15.85</v>
      </c>
      <c r="C115" t="s" s="16">
        <v>948</v>
      </c>
      <c r="D115" s="172" cm="1">
        <f t="array" ref="D115">'Invités'!$O$91</f>
        <v>74</v>
      </c>
      <c r="E115" t="s" s="16">
        <v>519</v>
      </c>
      <c r="F115" s="173" cm="1">
        <f t="array" ref="F115">IF(E115="Oui",B115*D115,0)</f>
        <v>0</v>
      </c>
      <c r="G115" s="173" cm="1">
        <f t="array" ref="G115">F115*1.1</f>
        <v>0</v>
      </c>
    </row>
    <row r="116" ht="20.05" customHeight="1">
      <c r="A116" t="s" s="52">
        <v>1001</v>
      </c>
      <c r="B116" s="160">
        <v>15.85</v>
      </c>
      <c r="C116" t="s" s="16">
        <v>948</v>
      </c>
      <c r="D116" s="172" cm="1">
        <f t="array" ref="D116">'Invités'!$O$91</f>
        <v>74</v>
      </c>
      <c r="E116" t="s" s="16">
        <v>519</v>
      </c>
      <c r="F116" s="173" cm="1">
        <f t="array" ref="F116">IF(E116="Oui",B116*D116,0)</f>
        <v>0</v>
      </c>
      <c r="G116" s="173" cm="1">
        <f t="array" ref="G116">F116*1.1</f>
        <v>0</v>
      </c>
    </row>
    <row r="117" ht="20.05" customHeight="1">
      <c r="A117" t="s" s="52">
        <v>1002</v>
      </c>
      <c r="B117" s="160">
        <v>11.9</v>
      </c>
      <c r="C117" t="s" s="16">
        <v>948</v>
      </c>
      <c r="D117" s="172" cm="1">
        <f t="array" ref="D117">'Invités'!$O$91</f>
        <v>74</v>
      </c>
      <c r="E117" t="s" s="16">
        <v>519</v>
      </c>
      <c r="F117" s="173" cm="1">
        <f t="array" ref="F117">IF(E117="Oui",B117*D117,0)</f>
        <v>0</v>
      </c>
      <c r="G117" s="173" cm="1">
        <f t="array" ref="G117">F117*1.1</f>
        <v>0</v>
      </c>
    </row>
    <row r="118" ht="20.05" customHeight="1">
      <c r="A118" t="s" s="52">
        <v>1003</v>
      </c>
      <c r="B118" s="160">
        <v>14.35</v>
      </c>
      <c r="C118" t="s" s="16">
        <v>948</v>
      </c>
      <c r="D118" s="172" cm="1">
        <f t="array" ref="D118">'Invités'!$O$91</f>
        <v>74</v>
      </c>
      <c r="E118" t="s" s="16">
        <v>519</v>
      </c>
      <c r="F118" s="173" cm="1">
        <f t="array" ref="F118">IF(E118="Oui",B118*D118,0)</f>
        <v>0</v>
      </c>
      <c r="G118" s="173" cm="1">
        <f t="array" ref="G118">F118*1.1</f>
        <v>0</v>
      </c>
    </row>
    <row r="119" ht="20.05" customHeight="1">
      <c r="A119" t="s" s="52">
        <v>1004</v>
      </c>
      <c r="B119" s="160">
        <v>14.3</v>
      </c>
      <c r="C119" t="s" s="16">
        <v>948</v>
      </c>
      <c r="D119" s="172" cm="1">
        <f t="array" ref="D119">'Invités'!$O$91</f>
        <v>74</v>
      </c>
      <c r="E119" t="s" s="16">
        <v>519</v>
      </c>
      <c r="F119" s="173" cm="1">
        <f t="array" ref="F119">IF(E119="Oui",B119*D119,0)</f>
        <v>0</v>
      </c>
      <c r="G119" s="173" cm="1">
        <f t="array" ref="G119">F119*1.1</f>
        <v>0</v>
      </c>
    </row>
    <row r="120" ht="20.05" customHeight="1">
      <c r="A120" t="s" s="174">
        <v>1005</v>
      </c>
      <c r="B120" s="175"/>
      <c r="C120" s="176"/>
      <c r="D120" s="176"/>
      <c r="E120" s="176"/>
      <c r="F120" s="177" cm="1">
        <f t="array" ref="F120">SUM(F121:F127)</f>
        <v>0</v>
      </c>
      <c r="G120" s="177" cm="1">
        <f t="array" ref="G120">SUM(G121:G127)</f>
        <v>0</v>
      </c>
    </row>
    <row r="121" ht="20.05" customHeight="1">
      <c r="A121" t="s" s="52">
        <v>1006</v>
      </c>
      <c r="B121" s="160">
        <v>12.9</v>
      </c>
      <c r="C121" t="s" s="16">
        <v>948</v>
      </c>
      <c r="D121" s="172" cm="1">
        <f t="array" ref="D121">'Invités'!$O$91</f>
        <v>74</v>
      </c>
      <c r="E121" t="s" s="16">
        <v>519</v>
      </c>
      <c r="F121" s="173" cm="1">
        <f t="array" ref="F121">IF(E121="Oui",B121*D121,0)</f>
        <v>0</v>
      </c>
      <c r="G121" s="173" cm="1">
        <f t="array" ref="G121">F121*1.1</f>
        <v>0</v>
      </c>
    </row>
    <row r="122" ht="20.05" customHeight="1">
      <c r="A122" t="s" s="52">
        <v>1007</v>
      </c>
      <c r="B122" s="160">
        <v>12.9</v>
      </c>
      <c r="C122" t="s" s="16">
        <v>948</v>
      </c>
      <c r="D122" s="172" cm="1">
        <f t="array" ref="D122">'Invités'!$O$91</f>
        <v>74</v>
      </c>
      <c r="E122" t="s" s="16">
        <v>519</v>
      </c>
      <c r="F122" s="173" cm="1">
        <f t="array" ref="F122">IF(E122="Oui",B122*D122,0)</f>
        <v>0</v>
      </c>
      <c r="G122" s="173" cm="1">
        <f t="array" ref="G122">F122*1.1</f>
        <v>0</v>
      </c>
    </row>
    <row r="123" ht="20.05" customHeight="1">
      <c r="A123" t="s" s="52">
        <v>1008</v>
      </c>
      <c r="B123" s="160">
        <v>14.55</v>
      </c>
      <c r="C123" t="s" s="16">
        <v>948</v>
      </c>
      <c r="D123" s="172" cm="1">
        <f t="array" ref="D123">'Invités'!$O$91</f>
        <v>74</v>
      </c>
      <c r="E123" t="s" s="16">
        <v>519</v>
      </c>
      <c r="F123" s="173" cm="1">
        <f t="array" ref="F123">IF(E123="Oui",B123*D123,0)</f>
        <v>0</v>
      </c>
      <c r="G123" s="173" cm="1">
        <f t="array" ref="G123">F123*1.1</f>
        <v>0</v>
      </c>
    </row>
    <row r="124" ht="20.05" customHeight="1">
      <c r="A124" t="s" s="52">
        <v>1009</v>
      </c>
      <c r="B124" s="160">
        <v>16.4</v>
      </c>
      <c r="C124" t="s" s="16">
        <v>948</v>
      </c>
      <c r="D124" s="172" cm="1">
        <f t="array" ref="D124">'Invités'!$O$91</f>
        <v>74</v>
      </c>
      <c r="E124" t="s" s="16">
        <v>519</v>
      </c>
      <c r="F124" s="173" cm="1">
        <f t="array" ref="F124">IF(E124="Oui",B124*D124,0)</f>
        <v>0</v>
      </c>
      <c r="G124" s="173" cm="1">
        <f t="array" ref="G124">F124*1.1</f>
        <v>0</v>
      </c>
    </row>
    <row r="125" ht="20.05" customHeight="1">
      <c r="A125" t="s" s="52">
        <v>1010</v>
      </c>
      <c r="B125" s="160">
        <v>12.5</v>
      </c>
      <c r="C125" t="s" s="16">
        <v>948</v>
      </c>
      <c r="D125" s="172" cm="1">
        <f t="array" ref="D125">'Invités'!$O$91</f>
        <v>74</v>
      </c>
      <c r="E125" t="s" s="16">
        <v>519</v>
      </c>
      <c r="F125" s="173" cm="1">
        <f t="array" ref="F125">IF(E125="Oui",B125*D125,0)</f>
        <v>0</v>
      </c>
      <c r="G125" s="173" cm="1">
        <f t="array" ref="G125">F125*1.1</f>
        <v>0</v>
      </c>
    </row>
    <row r="126" ht="20.05" customHeight="1">
      <c r="A126" t="s" s="52">
        <v>1011</v>
      </c>
      <c r="B126" s="160">
        <v>10.3</v>
      </c>
      <c r="C126" t="s" s="16">
        <v>948</v>
      </c>
      <c r="D126" s="172" cm="1">
        <f t="array" ref="D126">'Invités'!$O$91</f>
        <v>74</v>
      </c>
      <c r="E126" t="s" s="16">
        <v>519</v>
      </c>
      <c r="F126" s="173" cm="1">
        <f t="array" ref="F126">IF(E126="Oui",B126*D126,0)</f>
        <v>0</v>
      </c>
      <c r="G126" s="173" cm="1">
        <f t="array" ref="G126">F126*1.1</f>
        <v>0</v>
      </c>
    </row>
    <row r="127" ht="20.05" customHeight="1">
      <c r="A127" t="s" s="52">
        <v>1012</v>
      </c>
      <c r="B127" s="160">
        <v>12.3</v>
      </c>
      <c r="C127" t="s" s="16">
        <v>948</v>
      </c>
      <c r="D127" s="172" cm="1">
        <f t="array" ref="D127">'Invités'!$O$91</f>
        <v>74</v>
      </c>
      <c r="E127" t="s" s="16">
        <v>519</v>
      </c>
      <c r="F127" s="173" cm="1">
        <f t="array" ref="F127">IF(E127="Oui",B127*D127,0)</f>
        <v>0</v>
      </c>
      <c r="G127" s="173" cm="1">
        <f t="array" ref="G127">F127*1.1</f>
        <v>0</v>
      </c>
    </row>
    <row r="128" ht="20.05" customHeight="1">
      <c r="A128" t="s" s="174">
        <v>1013</v>
      </c>
      <c r="B128" s="175"/>
      <c r="C128" s="176"/>
      <c r="D128" s="176"/>
      <c r="E128" s="176"/>
      <c r="F128" s="177" cm="1">
        <f t="array" ref="F128">SUM(F129:F132)</f>
        <v>325.6</v>
      </c>
      <c r="G128" s="177" cm="1">
        <f t="array" ref="G128">SUM(G129:G132)</f>
        <v>358.16</v>
      </c>
    </row>
    <row r="129" ht="20.05" customHeight="1">
      <c r="A129" t="s" s="52">
        <v>1014</v>
      </c>
      <c r="B129" s="160">
        <v>4.4</v>
      </c>
      <c r="C129" t="s" s="16">
        <v>1015</v>
      </c>
      <c r="D129" s="172" cm="1">
        <f t="array" ref="D129">'Invités'!$O$91</f>
        <v>74</v>
      </c>
      <c r="E129" t="s" s="16">
        <v>524</v>
      </c>
      <c r="F129" s="173" cm="1">
        <f t="array" ref="F129">IF(E129="Oui",B129*D129,0)</f>
        <v>325.6</v>
      </c>
      <c r="G129" s="173" cm="1">
        <f t="array" ref="G129">F129*1.1</f>
        <v>358.16</v>
      </c>
    </row>
    <row r="130" ht="20.05" customHeight="1">
      <c r="A130" t="s" s="52">
        <v>1016</v>
      </c>
      <c r="B130" s="160">
        <v>5</v>
      </c>
      <c r="C130" t="s" s="16">
        <v>1015</v>
      </c>
      <c r="D130" s="172" cm="1">
        <f t="array" ref="D130">'Invités'!$O$91</f>
        <v>74</v>
      </c>
      <c r="E130" t="s" s="16">
        <v>519</v>
      </c>
      <c r="F130" s="173" cm="1">
        <f t="array" ref="F130">IF(E130="Oui",B130*D130,0)</f>
        <v>0</v>
      </c>
      <c r="G130" s="173" cm="1">
        <f t="array" ref="G130">F130*1.1</f>
        <v>0</v>
      </c>
    </row>
    <row r="131" ht="20.05" customHeight="1">
      <c r="A131" t="s" s="52">
        <v>1017</v>
      </c>
      <c r="B131" s="160">
        <v>4.1</v>
      </c>
      <c r="C131" t="s" s="16">
        <v>1015</v>
      </c>
      <c r="D131" s="172" cm="1">
        <f t="array" ref="D131">'Invités'!$O$91</f>
        <v>74</v>
      </c>
      <c r="E131" t="s" s="16">
        <v>519</v>
      </c>
      <c r="F131" s="173" cm="1">
        <f t="array" ref="F131">IF(E131="Oui",B131*D131,0)</f>
        <v>0</v>
      </c>
      <c r="G131" s="173" cm="1">
        <f t="array" ref="G131">F131*1.1</f>
        <v>0</v>
      </c>
    </row>
    <row r="132" ht="20.05" customHeight="1">
      <c r="A132" t="s" s="52">
        <v>1018</v>
      </c>
      <c r="B132" s="160">
        <v>4.4</v>
      </c>
      <c r="C132" t="s" s="16">
        <v>1015</v>
      </c>
      <c r="D132" s="172" cm="1">
        <f t="array" ref="D132">'Invités'!$O$91</f>
        <v>74</v>
      </c>
      <c r="E132" t="s" s="16">
        <v>519</v>
      </c>
      <c r="F132" s="173" cm="1">
        <f t="array" ref="F132">IF(E132="Oui",B132*D132,0)</f>
        <v>0</v>
      </c>
      <c r="G132" s="173" cm="1">
        <f t="array" ref="G132">F132*1.1</f>
        <v>0</v>
      </c>
    </row>
    <row r="133" ht="20.05" customHeight="1">
      <c r="A133" t="s" s="174">
        <v>1019</v>
      </c>
      <c r="B133" s="175"/>
      <c r="C133" s="176"/>
      <c r="D133" s="176"/>
      <c r="E133" s="176"/>
      <c r="F133" s="177" cm="1">
        <f t="array" ref="F133">SUM(F134:F136)</f>
        <v>109.8</v>
      </c>
      <c r="G133" s="177" cm="1">
        <f t="array" ref="G133">SUM(G134:G136)</f>
        <v>120.78</v>
      </c>
    </row>
    <row r="134" ht="20.05" customHeight="1">
      <c r="A134" t="s" s="52">
        <v>1020</v>
      </c>
      <c r="B134" s="160">
        <v>2.65</v>
      </c>
      <c r="C134" t="s" s="16">
        <v>1015</v>
      </c>
      <c r="D134" s="172" cm="1">
        <f t="array" ref="D134">'Invités'!$R$91</f>
        <v>61</v>
      </c>
      <c r="E134" t="s" s="16">
        <v>519</v>
      </c>
      <c r="F134" s="173" cm="1">
        <f t="array" ref="F134">IF(E134="Oui",B134*D134,0)</f>
        <v>0</v>
      </c>
      <c r="G134" s="173" cm="1">
        <f t="array" ref="G134">F134*1.1</f>
        <v>0</v>
      </c>
    </row>
    <row r="135" ht="20.05" customHeight="1">
      <c r="A135" t="s" s="52">
        <v>1021</v>
      </c>
      <c r="B135" s="160">
        <v>1.8</v>
      </c>
      <c r="C135" t="s" s="16">
        <v>1015</v>
      </c>
      <c r="D135" s="172" cm="1">
        <f t="array" ref="D135">'Invités'!$R$91</f>
        <v>61</v>
      </c>
      <c r="E135" t="s" s="16">
        <v>524</v>
      </c>
      <c r="F135" s="173" cm="1">
        <f t="array" ref="F135">IF(E135="Oui",B135*D135,0)</f>
        <v>109.8</v>
      </c>
      <c r="G135" s="173" cm="1">
        <f t="array" ref="G135">F135*1.1</f>
        <v>120.78</v>
      </c>
    </row>
    <row r="136" ht="20.05" customHeight="1">
      <c r="A136" t="s" s="52">
        <v>1022</v>
      </c>
      <c r="B136" s="160">
        <v>2.85</v>
      </c>
      <c r="C136" t="s" s="16">
        <v>1015</v>
      </c>
      <c r="D136" s="172" cm="1">
        <f t="array" ref="D136">'Invités'!$O$91</f>
        <v>74</v>
      </c>
      <c r="E136" t="s" s="16">
        <v>519</v>
      </c>
      <c r="F136" s="173" cm="1">
        <f t="array" ref="F136">IF(E136="Oui",B136*D136,0)</f>
        <v>0</v>
      </c>
      <c r="G136" s="173" cm="1">
        <f t="array" ref="G136">F136*1.1</f>
        <v>0</v>
      </c>
    </row>
    <row r="137" ht="20.05" customHeight="1">
      <c r="A137" t="s" s="174">
        <v>1023</v>
      </c>
      <c r="B137" s="175"/>
      <c r="C137" s="176"/>
      <c r="D137" s="176"/>
      <c r="E137" s="176"/>
      <c r="F137" s="177" cm="1">
        <f t="array" ref="F137">SUM(F138:F145)</f>
        <v>0</v>
      </c>
      <c r="G137" s="177" cm="1">
        <f t="array" ref="G137">SUM(G138:G145)</f>
        <v>0</v>
      </c>
    </row>
    <row r="138" ht="20.05" customHeight="1">
      <c r="A138" t="s" s="52">
        <v>1024</v>
      </c>
      <c r="B138" s="160">
        <v>5.1</v>
      </c>
      <c r="C138" t="s" s="16">
        <v>1015</v>
      </c>
      <c r="D138" s="172" cm="1">
        <f t="array" ref="D138">'Invités'!$O$91</f>
        <v>74</v>
      </c>
      <c r="E138" t="s" s="16">
        <v>519</v>
      </c>
      <c r="F138" s="173" cm="1">
        <f t="array" ref="F138">IF(E138="Oui",B138*D138,0)</f>
        <v>0</v>
      </c>
      <c r="G138" s="173" cm="1">
        <f t="array" ref="G138">F138*1.1</f>
        <v>0</v>
      </c>
    </row>
    <row r="139" ht="20.05" customHeight="1">
      <c r="A139" t="s" s="52">
        <v>1025</v>
      </c>
      <c r="B139" s="160">
        <v>5.7</v>
      </c>
      <c r="C139" t="s" s="16">
        <v>1015</v>
      </c>
      <c r="D139" s="172" cm="1">
        <f t="array" ref="D139">'Invités'!$O$91</f>
        <v>74</v>
      </c>
      <c r="E139" t="s" s="16">
        <v>519</v>
      </c>
      <c r="F139" s="173" cm="1">
        <f t="array" ref="F139">IF(E139="Oui",B139*D139,0)</f>
        <v>0</v>
      </c>
      <c r="G139" s="173" cm="1">
        <f t="array" ref="G139">F139*1.1</f>
        <v>0</v>
      </c>
    </row>
    <row r="140" ht="20.05" customHeight="1">
      <c r="A140" t="s" s="52">
        <v>1026</v>
      </c>
      <c r="B140" s="160">
        <v>5.7</v>
      </c>
      <c r="C140" t="s" s="16">
        <v>1015</v>
      </c>
      <c r="D140" s="172" cm="1">
        <f t="array" ref="D140">'Invités'!$O$91</f>
        <v>74</v>
      </c>
      <c r="E140" t="s" s="16">
        <v>519</v>
      </c>
      <c r="F140" s="173" cm="1">
        <f t="array" ref="F140">IF(E140="Oui",B140*D140,0)</f>
        <v>0</v>
      </c>
      <c r="G140" s="173" cm="1">
        <f t="array" ref="G140">F140*1.1</f>
        <v>0</v>
      </c>
    </row>
    <row r="141" ht="20.05" customHeight="1">
      <c r="A141" t="s" s="52">
        <v>1027</v>
      </c>
      <c r="B141" s="160">
        <v>5.1</v>
      </c>
      <c r="C141" t="s" s="16">
        <v>1015</v>
      </c>
      <c r="D141" s="172" cm="1">
        <f t="array" ref="D141">'Invités'!$O$91</f>
        <v>74</v>
      </c>
      <c r="E141" t="s" s="16">
        <v>519</v>
      </c>
      <c r="F141" s="173" cm="1">
        <f t="array" ref="F141">IF(E141="Oui",B141*D141,0)</f>
        <v>0</v>
      </c>
      <c r="G141" s="173" cm="1">
        <f t="array" ref="G141">F141*1.1</f>
        <v>0</v>
      </c>
    </row>
    <row r="142" ht="20.05" customHeight="1">
      <c r="A142" t="s" s="52">
        <v>1028</v>
      </c>
      <c r="B142" s="160">
        <v>5.1</v>
      </c>
      <c r="C142" t="s" s="16">
        <v>1015</v>
      </c>
      <c r="D142" s="172" cm="1">
        <f t="array" ref="D142">'Invités'!$O$91</f>
        <v>74</v>
      </c>
      <c r="E142" t="s" s="16">
        <v>519</v>
      </c>
      <c r="F142" s="173" cm="1">
        <f t="array" ref="F142">IF(E142="Oui",B142*D142,0)</f>
        <v>0</v>
      </c>
      <c r="G142" s="173" cm="1">
        <f t="array" ref="G142">F142*1.1</f>
        <v>0</v>
      </c>
    </row>
    <row r="143" ht="20.05" customHeight="1">
      <c r="A143" t="s" s="52">
        <v>1029</v>
      </c>
      <c r="B143" s="160">
        <v>5.1</v>
      </c>
      <c r="C143" t="s" s="16">
        <v>1015</v>
      </c>
      <c r="D143" s="172" cm="1">
        <f t="array" ref="D143">'Invités'!$O$91</f>
        <v>74</v>
      </c>
      <c r="E143" t="s" s="16">
        <v>519</v>
      </c>
      <c r="F143" s="173" cm="1">
        <f t="array" ref="F143">IF(E143="Oui",B143*D143,0)</f>
        <v>0</v>
      </c>
      <c r="G143" s="173" cm="1">
        <f t="array" ref="G143">F143*1.1</f>
        <v>0</v>
      </c>
    </row>
    <row r="144" ht="20.05" customHeight="1">
      <c r="A144" t="s" s="52">
        <v>1030</v>
      </c>
      <c r="B144" s="160">
        <v>4.3</v>
      </c>
      <c r="C144" t="s" s="16">
        <v>1015</v>
      </c>
      <c r="D144" s="172" cm="1">
        <f t="array" ref="D144">'Invités'!$O$91</f>
        <v>74</v>
      </c>
      <c r="E144" t="s" s="16">
        <v>519</v>
      </c>
      <c r="F144" s="173" cm="1">
        <f t="array" ref="F144">IF(E144="Oui",B144*D144,0)</f>
        <v>0</v>
      </c>
      <c r="G144" s="173" cm="1">
        <f t="array" ref="G144">F144*1.1</f>
        <v>0</v>
      </c>
    </row>
    <row r="145" ht="20.05" customHeight="1">
      <c r="A145" t="s" s="52">
        <v>1031</v>
      </c>
      <c r="B145" s="160">
        <v>5.1</v>
      </c>
      <c r="C145" t="s" s="16">
        <v>1015</v>
      </c>
      <c r="D145" s="172" cm="1">
        <f t="array" ref="D145">'Invités'!$O$91</f>
        <v>74</v>
      </c>
      <c r="E145" t="s" s="16">
        <v>519</v>
      </c>
      <c r="F145" s="173" cm="1">
        <f t="array" ref="F145">IF(E145="Oui",B145*D145,0)</f>
        <v>0</v>
      </c>
      <c r="G145" s="173" cm="1">
        <f t="array" ref="G145">F145*1.1</f>
        <v>0</v>
      </c>
    </row>
    <row r="146" ht="20.05" customHeight="1">
      <c r="A146" t="s" s="174">
        <v>1032</v>
      </c>
      <c r="B146" s="175"/>
      <c r="C146" s="176"/>
      <c r="D146" s="176"/>
      <c r="E146" s="176"/>
      <c r="F146" s="177" cm="1">
        <f t="array" ref="F146">SUM(F147:F153)</f>
        <v>0</v>
      </c>
      <c r="G146" s="177" cm="1">
        <f t="array" ref="G146">SUM(G147:G153)</f>
        <v>0</v>
      </c>
    </row>
    <row r="147" ht="20.05" customHeight="1">
      <c r="A147" t="s" s="52">
        <v>1033</v>
      </c>
      <c r="B147" s="160">
        <v>5</v>
      </c>
      <c r="C147" t="s" s="16">
        <v>1015</v>
      </c>
      <c r="D147" s="172" cm="1">
        <f t="array" ref="D147">'Invités'!$O$91</f>
        <v>74</v>
      </c>
      <c r="E147" t="s" s="16">
        <v>519</v>
      </c>
      <c r="F147" s="173" cm="1">
        <f t="array" ref="F147">IF(E147="Oui",B147*D147,0)</f>
        <v>0</v>
      </c>
      <c r="G147" s="173" cm="1">
        <f t="array" ref="G147">F147*1.1</f>
        <v>0</v>
      </c>
    </row>
    <row r="148" ht="20.05" customHeight="1">
      <c r="A148" t="s" s="52">
        <v>1034</v>
      </c>
      <c r="B148" s="160">
        <v>6.8</v>
      </c>
      <c r="C148" t="s" s="16">
        <v>1015</v>
      </c>
      <c r="D148" s="172" cm="1">
        <f t="array" ref="D148">'Invités'!$O$91</f>
        <v>74</v>
      </c>
      <c r="E148" t="s" s="16">
        <v>519</v>
      </c>
      <c r="F148" s="173" cm="1">
        <f t="array" ref="F148">IF(E148="Oui",B148*D148,0)</f>
        <v>0</v>
      </c>
      <c r="G148" s="173" cm="1">
        <f t="array" ref="G148">F148*1.1</f>
        <v>0</v>
      </c>
    </row>
    <row r="149" ht="20.05" customHeight="1">
      <c r="A149" t="s" s="52">
        <v>1035</v>
      </c>
      <c r="B149" s="160">
        <v>5.95</v>
      </c>
      <c r="C149" t="s" s="16">
        <v>1015</v>
      </c>
      <c r="D149" s="172" cm="1">
        <f t="array" ref="D149">'Invités'!$O$91</f>
        <v>74</v>
      </c>
      <c r="E149" t="s" s="16">
        <v>519</v>
      </c>
      <c r="F149" s="173" cm="1">
        <f t="array" ref="F149">IF(E149="Oui",B149*D149,0)</f>
        <v>0</v>
      </c>
      <c r="G149" s="173" cm="1">
        <f t="array" ref="G149">F149*1.1</f>
        <v>0</v>
      </c>
    </row>
    <row r="150" ht="20.05" customHeight="1">
      <c r="A150" t="s" s="52">
        <v>1036</v>
      </c>
      <c r="B150" s="160">
        <v>6.3</v>
      </c>
      <c r="C150" t="s" s="16">
        <v>1015</v>
      </c>
      <c r="D150" s="172" cm="1">
        <f t="array" ref="D150">'Invités'!$O$91</f>
        <v>74</v>
      </c>
      <c r="E150" t="s" s="16">
        <v>519</v>
      </c>
      <c r="F150" s="173" cm="1">
        <f t="array" ref="F150">IF(E150="Oui",B150*D150,0)</f>
        <v>0</v>
      </c>
      <c r="G150" s="173" cm="1">
        <f t="array" ref="G150">F150*1.1</f>
        <v>0</v>
      </c>
    </row>
    <row r="151" ht="20.05" customHeight="1">
      <c r="A151" t="s" s="52">
        <v>1037</v>
      </c>
      <c r="B151" s="160">
        <v>1.25</v>
      </c>
      <c r="C151" t="s" s="16">
        <v>887</v>
      </c>
      <c r="D151" s="172" cm="1">
        <f t="array" ref="D151">'Invités'!$O$91</f>
        <v>74</v>
      </c>
      <c r="E151" t="s" s="16">
        <v>519</v>
      </c>
      <c r="F151" s="173" cm="1">
        <f t="array" ref="F151">IF(E151="Oui",B151*D151,0)</f>
        <v>0</v>
      </c>
      <c r="G151" s="173" cm="1">
        <f t="array" ref="G151">F151*1.1</f>
        <v>0</v>
      </c>
    </row>
    <row r="152" ht="20.05" customHeight="1">
      <c r="A152" t="s" s="52">
        <v>1038</v>
      </c>
      <c r="B152" s="160">
        <v>2.6</v>
      </c>
      <c r="C152" t="s" s="16">
        <v>1015</v>
      </c>
      <c r="D152" s="172" cm="1">
        <f t="array" ref="D152">'Invités'!$O$91</f>
        <v>74</v>
      </c>
      <c r="E152" t="s" s="16">
        <v>519</v>
      </c>
      <c r="F152" s="173" cm="1">
        <f t="array" ref="F152">IF(E152="Oui",B152*D152,0)</f>
        <v>0</v>
      </c>
      <c r="G152" s="173" cm="1">
        <f t="array" ref="G152">F152*1.1</f>
        <v>0</v>
      </c>
    </row>
    <row r="153" ht="20.05" customHeight="1">
      <c r="A153" t="s" s="52">
        <v>1039</v>
      </c>
      <c r="B153" s="160">
        <v>3.6</v>
      </c>
      <c r="C153" t="s" s="16">
        <v>1015</v>
      </c>
      <c r="D153" s="172" cm="1">
        <f t="array" ref="D153">'Invités'!$O$91</f>
        <v>74</v>
      </c>
      <c r="E153" t="s" s="16">
        <v>519</v>
      </c>
      <c r="F153" s="173" cm="1">
        <f t="array" ref="F153">IF(E153="Oui",B153*D153,0)</f>
        <v>0</v>
      </c>
      <c r="G153" s="173" cm="1">
        <f t="array" ref="G153">F153*1.1</f>
        <v>0</v>
      </c>
    </row>
    <row r="154" ht="20.05" customHeight="1">
      <c r="A154" t="s" s="174">
        <v>1040</v>
      </c>
      <c r="B154" s="175"/>
      <c r="C154" s="176"/>
      <c r="D154" s="176"/>
      <c r="E154" s="176"/>
      <c r="F154" s="177" cm="1">
        <f t="array" ref="F154">SUM(F155:F158)</f>
        <v>425.5</v>
      </c>
      <c r="G154" s="177" cm="1">
        <f t="array" ref="G154">SUM(G155:G158)</f>
        <v>468.05</v>
      </c>
    </row>
    <row r="155" ht="20.05" customHeight="1">
      <c r="A155" t="s" s="52">
        <v>1041</v>
      </c>
      <c r="B155" s="160">
        <v>0.98</v>
      </c>
      <c r="C155" t="s" s="16">
        <v>1042</v>
      </c>
      <c r="D155" s="172" cm="1">
        <f t="array" ref="D155">'Invités'!$O$91*3</f>
        <v>222</v>
      </c>
      <c r="E155" t="s" s="16">
        <v>519</v>
      </c>
      <c r="F155" s="173" cm="1">
        <f t="array" ref="F155">IF(E155="Oui",B155*D155,0)</f>
        <v>0</v>
      </c>
      <c r="G155" s="173" cm="1">
        <f t="array" ref="G155">F155*1.1</f>
        <v>0</v>
      </c>
    </row>
    <row r="156" ht="20.05" customHeight="1">
      <c r="A156" t="s" s="52">
        <v>1043</v>
      </c>
      <c r="B156" s="160">
        <v>5.75</v>
      </c>
      <c r="C156" t="s" s="16">
        <v>1015</v>
      </c>
      <c r="D156" s="172" cm="1">
        <f t="array" ref="D156">'Invités'!$O$91</f>
        <v>74</v>
      </c>
      <c r="E156" t="s" s="16">
        <v>524</v>
      </c>
      <c r="F156" s="173" cm="1">
        <f t="array" ref="F156">IF(E156="Oui",B156*D156,0)</f>
        <v>425.5</v>
      </c>
      <c r="G156" s="173" cm="1">
        <f t="array" ref="G156">F156*1.1</f>
        <v>468.05</v>
      </c>
    </row>
    <row r="157" ht="20.05" customHeight="1">
      <c r="A157" t="s" s="52">
        <v>1044</v>
      </c>
      <c r="B157" s="160">
        <v>3.5</v>
      </c>
      <c r="C157" t="s" s="16">
        <v>1015</v>
      </c>
      <c r="D157" s="172" cm="1">
        <f t="array" ref="D157">'Invités'!$O$91</f>
        <v>74</v>
      </c>
      <c r="E157" t="s" s="16">
        <v>519</v>
      </c>
      <c r="F157" s="173" cm="1">
        <f t="array" ref="F157">IF(E157="Oui",B157*D157,0)</f>
        <v>0</v>
      </c>
      <c r="G157" s="173" cm="1">
        <f t="array" ref="G157">F157*1.1</f>
        <v>0</v>
      </c>
    </row>
    <row r="158" ht="20.05" customHeight="1">
      <c r="A158" t="s" s="52">
        <v>1045</v>
      </c>
      <c r="B158" s="160">
        <v>5.1</v>
      </c>
      <c r="C158" t="s" s="16">
        <v>1015</v>
      </c>
      <c r="D158" s="172" cm="1">
        <f t="array" ref="D158">'Invités'!$O$91</f>
        <v>74</v>
      </c>
      <c r="E158" t="s" s="16">
        <v>519</v>
      </c>
      <c r="F158" s="173" cm="1">
        <f t="array" ref="F158">IF(E158="Oui",B158*D158,0)</f>
        <v>0</v>
      </c>
      <c r="G158" s="173" cm="1">
        <f t="array" ref="G158">F158*1.1</f>
        <v>0</v>
      </c>
    </row>
    <row r="159" ht="20.05" customHeight="1">
      <c r="A159" t="s" s="174">
        <v>1046</v>
      </c>
      <c r="B159" s="175"/>
      <c r="C159" s="176"/>
      <c r="D159" s="176"/>
      <c r="E159" s="176"/>
      <c r="F159" s="177" cm="1">
        <f t="array" ref="F159">SUM(F160)</f>
        <v>74</v>
      </c>
      <c r="G159" s="177" cm="1">
        <f t="array" ref="G159">SUM(G160)</f>
        <v>81.40000000000001</v>
      </c>
    </row>
    <row r="160" ht="20.05" customHeight="1">
      <c r="A160" t="s" s="52">
        <v>1047</v>
      </c>
      <c r="B160" s="160">
        <v>1</v>
      </c>
      <c r="C160" t="s" s="16">
        <v>1015</v>
      </c>
      <c r="D160" s="172" cm="1">
        <f t="array" ref="D160">'Invités'!$O$91</f>
        <v>74</v>
      </c>
      <c r="E160" t="s" s="16">
        <v>524</v>
      </c>
      <c r="F160" s="173" cm="1">
        <f t="array" ref="F160">IF(E160="Oui",B160*D160,0)</f>
        <v>74</v>
      </c>
      <c r="G160" s="173" cm="1">
        <f t="array" ref="G160">F160*1.1</f>
        <v>81.40000000000001</v>
      </c>
    </row>
    <row r="161" ht="20.05" customHeight="1">
      <c r="A161" t="s" s="174">
        <v>1048</v>
      </c>
      <c r="B161" s="175"/>
      <c r="C161" s="176"/>
      <c r="D161" s="176"/>
      <c r="E161" s="176"/>
      <c r="F161" s="177" cm="1">
        <f t="array" ref="F161">SUM(F162:F167)</f>
        <v>451.4</v>
      </c>
      <c r="G161" s="177" cm="1">
        <f t="array" ref="G161">SUM(G162:G167)</f>
        <v>496.54</v>
      </c>
    </row>
    <row r="162" ht="20.05" customHeight="1">
      <c r="A162" t="s" s="52">
        <v>1049</v>
      </c>
      <c r="B162" s="160">
        <v>3.2</v>
      </c>
      <c r="C162" t="s" s="16">
        <v>1015</v>
      </c>
      <c r="D162" s="172" cm="1">
        <f t="array" ref="D162">'Invités'!$O$91</f>
        <v>74</v>
      </c>
      <c r="E162" t="s" s="16">
        <v>524</v>
      </c>
      <c r="F162" s="173" cm="1">
        <f t="array" ref="F162">IF(E162="Oui",B162*D162,0)</f>
        <v>236.8</v>
      </c>
      <c r="G162" s="173" cm="1">
        <f t="array" ref="G162">F162*1.1</f>
        <v>260.48</v>
      </c>
    </row>
    <row r="163" ht="20.05" customHeight="1">
      <c r="A163" t="s" s="52">
        <v>1050</v>
      </c>
      <c r="B163" s="160">
        <v>5.5</v>
      </c>
      <c r="C163" t="s" s="16">
        <v>1015</v>
      </c>
      <c r="D163" s="172" cm="1">
        <f t="array" ref="D163">'Invités'!$O$91</f>
        <v>74</v>
      </c>
      <c r="E163" t="s" s="16">
        <v>519</v>
      </c>
      <c r="F163" s="173" cm="1">
        <f t="array" ref="F163">IF(E163="Oui",B163*D163,0)</f>
        <v>0</v>
      </c>
      <c r="G163" s="173" cm="1">
        <f t="array" ref="G163">F163*1.1</f>
        <v>0</v>
      </c>
    </row>
    <row r="164" ht="20.05" customHeight="1">
      <c r="A164" t="s" s="52">
        <v>1051</v>
      </c>
      <c r="B164" s="160">
        <v>1.6</v>
      </c>
      <c r="C164" t="s" s="16">
        <v>1015</v>
      </c>
      <c r="D164" s="172" cm="1">
        <f t="array" ref="D164">'Invités'!$O$91</f>
        <v>74</v>
      </c>
      <c r="E164" t="s" s="16">
        <v>524</v>
      </c>
      <c r="F164" s="173" cm="1">
        <f t="array" ref="F164">IF(E164="Oui",B164*D164,0)</f>
        <v>118.4</v>
      </c>
      <c r="G164" s="173" cm="1">
        <f t="array" ref="G164">F164*1.1</f>
        <v>130.24</v>
      </c>
    </row>
    <row r="165" ht="20.05" customHeight="1">
      <c r="A165" t="s" s="52">
        <v>1052</v>
      </c>
      <c r="B165" s="160">
        <v>1.8</v>
      </c>
      <c r="C165" t="s" s="16">
        <v>1015</v>
      </c>
      <c r="D165" s="172" cm="1">
        <f t="array" ref="D165">'Invités'!$O$91</f>
        <v>74</v>
      </c>
      <c r="E165" t="s" s="16">
        <v>519</v>
      </c>
      <c r="F165" s="173" cm="1">
        <f t="array" ref="F165">IF(E165="Oui",B165*D165,0)</f>
        <v>0</v>
      </c>
      <c r="G165" s="173" cm="1">
        <f t="array" ref="G165">F165*1.1</f>
        <v>0</v>
      </c>
    </row>
    <row r="166" ht="20.05" customHeight="1">
      <c r="A166" t="s" s="52">
        <v>1053</v>
      </c>
      <c r="B166" s="160">
        <v>1.3</v>
      </c>
      <c r="C166" t="s" s="16">
        <v>1015</v>
      </c>
      <c r="D166" s="172" cm="1">
        <f t="array" ref="D166">'Invités'!$O$91</f>
        <v>74</v>
      </c>
      <c r="E166" t="s" s="16">
        <v>524</v>
      </c>
      <c r="F166" s="173" cm="1">
        <f t="array" ref="F166">IF(E166="Oui",B166*D166,0)</f>
        <v>96.2</v>
      </c>
      <c r="G166" s="173" cm="1">
        <f t="array" ref="G166">F166*1.1</f>
        <v>105.82</v>
      </c>
    </row>
    <row r="167" ht="20.05" customHeight="1">
      <c r="A167" t="s" s="52">
        <v>1054</v>
      </c>
      <c r="B167" s="160">
        <v>2.6</v>
      </c>
      <c r="C167" t="s" s="16">
        <v>1015</v>
      </c>
      <c r="D167" s="172" cm="1">
        <f t="array" ref="D167">'Invités'!$O$91</f>
        <v>74</v>
      </c>
      <c r="E167" t="s" s="16">
        <v>519</v>
      </c>
      <c r="F167" s="173" cm="1">
        <f t="array" ref="F167">IF(E167="Oui",B167*D167,0)</f>
        <v>0</v>
      </c>
      <c r="G167" s="173" cm="1">
        <f t="array" ref="G167">F167*1.1</f>
        <v>0</v>
      </c>
    </row>
    <row r="168" ht="20.05" customHeight="1">
      <c r="A168" t="s" s="174">
        <v>1055</v>
      </c>
      <c r="B168" s="175"/>
      <c r="C168" s="176"/>
      <c r="D168" s="176"/>
      <c r="E168" s="176"/>
      <c r="F168" s="177" cm="1">
        <f t="array" ref="F168">SUM(F169:F181)</f>
        <v>0</v>
      </c>
      <c r="G168" s="177" cm="1">
        <f t="array" ref="G168">SUM(G169:G181)</f>
        <v>0</v>
      </c>
    </row>
    <row r="169" ht="20.05" customHeight="1">
      <c r="A169" t="s" s="52">
        <v>1056</v>
      </c>
      <c r="B169" s="160">
        <v>2</v>
      </c>
      <c r="C169" t="s" s="16">
        <v>887</v>
      </c>
      <c r="D169" s="172" cm="1">
        <f t="array" ref="D169">'Invités'!$O$91</f>
        <v>74</v>
      </c>
      <c r="E169" t="s" s="16">
        <v>519</v>
      </c>
      <c r="F169" s="173" cm="1">
        <f t="array" ref="F169">IF(E169="Oui",B169*D169,0)</f>
        <v>0</v>
      </c>
      <c r="G169" s="173" cm="1">
        <f t="array" ref="G169">F169*1.1</f>
        <v>0</v>
      </c>
    </row>
    <row r="170" ht="20.05" customHeight="1">
      <c r="A170" t="s" s="52">
        <v>1057</v>
      </c>
      <c r="B170" s="160">
        <v>4.65</v>
      </c>
      <c r="C170" t="s" s="16">
        <v>887</v>
      </c>
      <c r="D170" s="172" cm="1">
        <f t="array" ref="D170">'Invités'!$O$91</f>
        <v>74</v>
      </c>
      <c r="E170" t="s" s="16">
        <v>519</v>
      </c>
      <c r="F170" s="173" cm="1">
        <f t="array" ref="F170">IF(E170="Oui",B170*D170,0)</f>
        <v>0</v>
      </c>
      <c r="G170" s="173" cm="1">
        <f t="array" ref="G170">F170*1.1</f>
        <v>0</v>
      </c>
    </row>
    <row r="171" ht="20.05" customHeight="1">
      <c r="A171" t="s" s="52">
        <v>1058</v>
      </c>
      <c r="B171" s="160">
        <v>3.9</v>
      </c>
      <c r="C171" t="s" s="16">
        <v>887</v>
      </c>
      <c r="D171" s="172" cm="1">
        <f t="array" ref="D171">'Invités'!$O$91</f>
        <v>74</v>
      </c>
      <c r="E171" t="s" s="16">
        <v>519</v>
      </c>
      <c r="F171" s="173" cm="1">
        <f t="array" ref="F171">IF(E171="Oui",B171*D171,0)</f>
        <v>0</v>
      </c>
      <c r="G171" s="173" cm="1">
        <f t="array" ref="G171">F171*1.1</f>
        <v>0</v>
      </c>
    </row>
    <row r="172" ht="20.05" customHeight="1">
      <c r="A172" t="s" s="52">
        <v>1059</v>
      </c>
      <c r="B172" s="160">
        <v>1.5</v>
      </c>
      <c r="C172" t="s" s="16">
        <v>887</v>
      </c>
      <c r="D172" s="172" cm="1">
        <f t="array" ref="D172">'Invités'!$O$91</f>
        <v>74</v>
      </c>
      <c r="E172" t="s" s="16">
        <v>519</v>
      </c>
      <c r="F172" s="173" cm="1">
        <f t="array" ref="F172">IF(E172="Oui",B172*D172,0)</f>
        <v>0</v>
      </c>
      <c r="G172" s="173" cm="1">
        <f t="array" ref="G172">F172*1.1</f>
        <v>0</v>
      </c>
    </row>
    <row r="173" ht="20.05" customHeight="1">
      <c r="A173" t="s" s="52">
        <v>1060</v>
      </c>
      <c r="B173" s="160">
        <v>40</v>
      </c>
      <c r="C173" t="s" s="16">
        <v>887</v>
      </c>
      <c r="D173" s="172" cm="1">
        <f t="array" ref="D173">'Invités'!$O$91</f>
        <v>74</v>
      </c>
      <c r="E173" t="s" s="16">
        <v>519</v>
      </c>
      <c r="F173" s="173" cm="1">
        <f t="array" ref="F173">IF(E173="Oui",B173*D173,0)</f>
        <v>0</v>
      </c>
      <c r="G173" s="173" cm="1">
        <f t="array" ref="G173">F173*1.1</f>
        <v>0</v>
      </c>
    </row>
    <row r="174" ht="20.05" customHeight="1">
      <c r="A174" t="s" s="52">
        <v>1061</v>
      </c>
      <c r="B174" s="160">
        <v>19.5</v>
      </c>
      <c r="C174" t="s" s="16">
        <v>926</v>
      </c>
      <c r="D174" s="172">
        <v>0</v>
      </c>
      <c r="E174" t="s" s="16">
        <v>519</v>
      </c>
      <c r="F174" s="173" cm="1">
        <f t="array" ref="F174">IF(E174="Oui",B174*D174,0)</f>
        <v>0</v>
      </c>
      <c r="G174" s="173" cm="1">
        <f t="array" ref="G174">F174*1.1</f>
        <v>0</v>
      </c>
    </row>
    <row r="175" ht="20.05" customHeight="1">
      <c r="A175" t="s" s="52">
        <v>1062</v>
      </c>
      <c r="B175" s="160">
        <v>19.5</v>
      </c>
      <c r="C175" t="s" s="16">
        <v>926</v>
      </c>
      <c r="D175" s="172">
        <v>0</v>
      </c>
      <c r="E175" t="s" s="16">
        <v>519</v>
      </c>
      <c r="F175" s="173" cm="1">
        <f t="array" ref="F175">IF(E175="Oui",B175*D175,0)</f>
        <v>0</v>
      </c>
      <c r="G175" s="173" cm="1">
        <f t="array" ref="G175">F175*1.1</f>
        <v>0</v>
      </c>
    </row>
    <row r="176" ht="20.05" customHeight="1">
      <c r="A176" t="s" s="52">
        <v>1063</v>
      </c>
      <c r="B176" s="160">
        <v>1.05</v>
      </c>
      <c r="C176" t="s" s="16">
        <v>887</v>
      </c>
      <c r="D176" s="172" cm="1">
        <f t="array" ref="D176">'Invités'!$O$91</f>
        <v>74</v>
      </c>
      <c r="E176" t="s" s="16">
        <v>519</v>
      </c>
      <c r="F176" s="173" cm="1">
        <f t="array" ref="F176">IF(E176="Oui",B176*D176,0)</f>
        <v>0</v>
      </c>
      <c r="G176" s="173" cm="1">
        <f t="array" ref="G176">F176*1.1</f>
        <v>0</v>
      </c>
    </row>
    <row r="177" ht="20.05" customHeight="1">
      <c r="A177" t="s" s="52">
        <v>1064</v>
      </c>
      <c r="B177" s="160">
        <v>0.95</v>
      </c>
      <c r="C177" t="s" s="16">
        <v>887</v>
      </c>
      <c r="D177" s="172" cm="1">
        <f t="array" ref="D177">'Invités'!$O$91</f>
        <v>74</v>
      </c>
      <c r="E177" t="s" s="16">
        <v>519</v>
      </c>
      <c r="F177" s="173" cm="1">
        <f t="array" ref="F177">IF(E177="Oui",B177*D177,0)</f>
        <v>0</v>
      </c>
      <c r="G177" s="173" cm="1">
        <f t="array" ref="G177">F177*1.1</f>
        <v>0</v>
      </c>
    </row>
    <row r="178" ht="20.05" customHeight="1">
      <c r="A178" t="s" s="52">
        <v>1065</v>
      </c>
      <c r="B178" s="160">
        <v>1.1</v>
      </c>
      <c r="C178" t="s" s="16">
        <v>887</v>
      </c>
      <c r="D178" s="172" cm="1">
        <f t="array" ref="D178">'Invités'!$O$91</f>
        <v>74</v>
      </c>
      <c r="E178" t="s" s="16">
        <v>519</v>
      </c>
      <c r="F178" s="173" cm="1">
        <f t="array" ref="F178">IF(E178="Oui",B178*D178,0)</f>
        <v>0</v>
      </c>
      <c r="G178" s="173" cm="1">
        <f t="array" ref="G178">F178*1.1</f>
        <v>0</v>
      </c>
    </row>
    <row r="179" ht="20.05" customHeight="1">
      <c r="A179" t="s" s="52">
        <v>1066</v>
      </c>
      <c r="B179" s="160">
        <v>89</v>
      </c>
      <c r="C179" t="s" s="16">
        <v>887</v>
      </c>
      <c r="D179" s="172" cm="1">
        <f t="array" ref="D179">'Invités'!$O$91</f>
        <v>74</v>
      </c>
      <c r="E179" t="s" s="16">
        <v>519</v>
      </c>
      <c r="F179" s="173" cm="1">
        <f t="array" ref="F179">IF(E179="Oui",B179*D179,0)</f>
        <v>0</v>
      </c>
      <c r="G179" s="173" cm="1">
        <f t="array" ref="G179">F179*1.1</f>
        <v>0</v>
      </c>
    </row>
    <row r="180" ht="20.05" customHeight="1">
      <c r="A180" t="s" s="52">
        <v>1067</v>
      </c>
      <c r="B180" s="160">
        <v>0.85</v>
      </c>
      <c r="C180" t="s" s="16">
        <v>887</v>
      </c>
      <c r="D180" s="172" cm="1">
        <f t="array" ref="D180">'Invités'!$O$91</f>
        <v>74</v>
      </c>
      <c r="E180" t="s" s="16">
        <v>519</v>
      </c>
      <c r="F180" s="173" cm="1">
        <f t="array" ref="F180">IF(E180="Oui",B180*D180,0)</f>
        <v>0</v>
      </c>
      <c r="G180" s="173" cm="1">
        <f t="array" ref="G180">F180*1.1</f>
        <v>0</v>
      </c>
    </row>
    <row r="181" ht="20.05" customHeight="1">
      <c r="A181" t="s" s="52">
        <v>1068</v>
      </c>
      <c r="B181" s="160">
        <v>0.85</v>
      </c>
      <c r="C181" t="s" s="16">
        <v>887</v>
      </c>
      <c r="D181" s="172" cm="1">
        <f t="array" ref="D181">'Invités'!$O$91</f>
        <v>74</v>
      </c>
      <c r="E181" t="s" s="16">
        <v>519</v>
      </c>
      <c r="F181" s="173" cm="1">
        <f t="array" ref="F181">IF(E181="Oui",B181*D181,0)</f>
        <v>0</v>
      </c>
      <c r="G181" s="173" cm="1">
        <f t="array" ref="G181">F181*1.1</f>
        <v>0</v>
      </c>
    </row>
    <row r="182" ht="20.05" customHeight="1">
      <c r="A182" t="s" s="174">
        <v>1069</v>
      </c>
      <c r="B182" s="175"/>
      <c r="C182" s="176"/>
      <c r="D182" s="176"/>
      <c r="E182" s="176"/>
      <c r="F182" s="177" cm="1">
        <f t="array" ref="F182">SUM(F183:F187)</f>
        <v>1615.5</v>
      </c>
      <c r="G182" s="177" cm="1">
        <f t="array" ref="G182">SUM(G183:G187)</f>
        <v>1777.05</v>
      </c>
    </row>
    <row r="183" ht="20.05" customHeight="1">
      <c r="A183" t="s" s="52">
        <v>1070</v>
      </c>
      <c r="B183" s="160">
        <v>13.35</v>
      </c>
      <c r="C183" t="s" s="16">
        <v>1015</v>
      </c>
      <c r="D183" s="172">
        <v>90</v>
      </c>
      <c r="E183" t="s" s="16">
        <v>519</v>
      </c>
      <c r="F183" s="173" cm="1">
        <f t="array" ref="F183">IF(E183="Oui",B183*D183,0)</f>
        <v>0</v>
      </c>
      <c r="G183" s="173" cm="1">
        <f t="array" ref="G183">F183*1.1</f>
        <v>0</v>
      </c>
    </row>
    <row r="184" ht="20.05" customHeight="1">
      <c r="A184" t="s" s="52">
        <v>1071</v>
      </c>
      <c r="B184" s="160">
        <v>17.95</v>
      </c>
      <c r="C184" t="s" s="16">
        <v>1015</v>
      </c>
      <c r="D184" s="172">
        <v>90</v>
      </c>
      <c r="E184" t="s" s="16">
        <v>524</v>
      </c>
      <c r="F184" s="173" cm="1">
        <f t="array" ref="F184">IF(E184="Oui",B184*D184,0)</f>
        <v>1615.5</v>
      </c>
      <c r="G184" s="173" cm="1">
        <f t="array" ref="G184">F184*1.1</f>
        <v>1777.05</v>
      </c>
    </row>
    <row r="185" ht="20.05" customHeight="1">
      <c r="A185" t="s" s="52">
        <v>1072</v>
      </c>
      <c r="B185" s="160">
        <v>11.3</v>
      </c>
      <c r="C185" t="s" s="16">
        <v>1015</v>
      </c>
      <c r="D185" s="172" cm="1">
        <f t="array" ref="D185">'Invités'!$S$91</f>
        <v>74</v>
      </c>
      <c r="E185" t="s" s="16">
        <v>519</v>
      </c>
      <c r="F185" s="173" cm="1">
        <f t="array" ref="F185">IF(E185="Oui",B185*D185,0)</f>
        <v>0</v>
      </c>
      <c r="G185" s="173" cm="1">
        <f t="array" ref="G185">F185*1.1</f>
        <v>0</v>
      </c>
    </row>
    <row r="186" ht="20.05" customHeight="1">
      <c r="A186" t="s" s="52">
        <v>1073</v>
      </c>
      <c r="B186" s="160">
        <v>11.3</v>
      </c>
      <c r="C186" t="s" s="16">
        <v>1015</v>
      </c>
      <c r="D186" s="172" cm="1">
        <f t="array" ref="D186">'Invités'!$S$91</f>
        <v>74</v>
      </c>
      <c r="E186" t="s" s="16">
        <v>519</v>
      </c>
      <c r="F186" s="173" cm="1">
        <f t="array" ref="F186">IF(E186="Oui",B186*D186,0)</f>
        <v>0</v>
      </c>
      <c r="G186" s="173" cm="1">
        <f t="array" ref="G186">F186*1.1</f>
        <v>0</v>
      </c>
    </row>
    <row r="187" ht="20.05" customHeight="1">
      <c r="A187" t="s" s="52">
        <v>1074</v>
      </c>
      <c r="B187" s="160">
        <v>19.5</v>
      </c>
      <c r="C187" t="s" s="16">
        <v>1015</v>
      </c>
      <c r="D187" s="172" cm="1">
        <f t="array" ref="D187">'Invités'!$S$91</f>
        <v>74</v>
      </c>
      <c r="E187" t="s" s="16">
        <v>519</v>
      </c>
      <c r="F187" s="173" cm="1">
        <f t="array" ref="F187">IF(E187="Oui",B187*D187,0)</f>
        <v>0</v>
      </c>
      <c r="G187" s="173" cm="1">
        <f t="array" ref="G187">F187*1.1</f>
        <v>0</v>
      </c>
    </row>
    <row r="188" ht="20.05" customHeight="1">
      <c r="A188" t="s" s="174">
        <v>1075</v>
      </c>
      <c r="B188" s="175"/>
      <c r="C188" s="176"/>
      <c r="D188" s="176"/>
      <c r="E188" s="176"/>
      <c r="F188" s="177" cm="1">
        <f t="array" ref="F188">SUM(F189:F190)</f>
        <v>5135.65</v>
      </c>
      <c r="G188" s="177" cm="1">
        <f t="array" ref="G188">SUM(G189:G190)</f>
        <v>5649.215</v>
      </c>
    </row>
    <row r="189" ht="20.4" customHeight="1">
      <c r="A189" t="s" s="52">
        <v>1076</v>
      </c>
      <c r="B189" s="160">
        <v>3420</v>
      </c>
      <c r="C189" t="s" s="16">
        <v>1077</v>
      </c>
      <c r="D189" s="172">
        <v>1</v>
      </c>
      <c r="E189" t="s" s="16">
        <v>524</v>
      </c>
      <c r="F189" s="173" cm="1">
        <f t="array" ref="F189">IF(E189="Oui",B189*D189,0)</f>
        <v>3420</v>
      </c>
      <c r="G189" s="173" cm="1">
        <f t="array" ref="G189">F189*1.1</f>
        <v>3762</v>
      </c>
    </row>
    <row r="190" ht="20.25" customHeight="1">
      <c r="A190" t="s" s="57">
        <v>1078</v>
      </c>
      <c r="B190" s="166">
        <v>1715.65</v>
      </c>
      <c r="C190" t="s" s="87">
        <v>1077</v>
      </c>
      <c r="D190" s="179">
        <v>1</v>
      </c>
      <c r="E190" t="s" s="87">
        <v>524</v>
      </c>
      <c r="F190" s="180" cm="1">
        <f t="array" ref="F190">IF(E190="Oui",B190*D190,0)</f>
        <v>1715.65</v>
      </c>
      <c r="G190" s="180" cm="1">
        <f t="array" ref="G190">F190*1.1</f>
        <v>1887.215</v>
      </c>
    </row>
    <row r="191" ht="20.25" customHeight="1">
      <c r="A191" s="75"/>
      <c r="B191" s="76"/>
      <c r="C191" s="74"/>
      <c r="D191" s="181"/>
      <c r="E191" s="74"/>
      <c r="F191" s="182" cm="1">
        <f t="array" ref="F191">F188+F182+F168+F161+F159+F154+F146+F137+F133+F128+F120+F98+F87+F84+F71+F62+F36+F20+F3</f>
        <v>10128.15</v>
      </c>
      <c r="G191" s="182" cm="1">
        <f t="array" ref="G191">G188+G182+G168+G161+G159+G154+G146+G137+G133+G128+G120+G98+G87+G84+G71+G62+G36+G20+G3</f>
        <v>11140.965</v>
      </c>
    </row>
  </sheetData>
  <mergeCells count="1">
    <mergeCell ref="A1:G1"/>
  </mergeCells>
  <conditionalFormatting sqref="E4:E19 E21:E35 E37:E61 E63:E70 E72:E83 E85:E86 E88:E94 E96:E97 E99:E119 E121:E127 E129:E132 E134:E136 E138:E145 E147:E153 E155:E158 E160 E162:E167 E169:E181 E183:E187 E189:E191">
    <cfRule type="cellIs" dxfId="15" priority="1" operator="equal" stopIfTrue="1">
      <formula>"Oui"</formula>
    </cfRule>
    <cfRule type="cellIs" dxfId="16" priority="2" operator="equal" stopIfTrue="1">
      <formula>"Non"</formula>
    </cfRule>
  </conditionalFormatting>
  <dataValidations count="1">
    <dataValidation type="list" allowBlank="1" showInputMessage="1" showErrorMessage="1" sqref="E4:E19 E21:E35 E37:E61 E63:E70 E72:E83 E85:E86 E88:E94 E96:E97 E99:E119 E121:E127 E129:E132 E134:E136 E138:E145 E147:E153 E155:E158 E160 E162:E167 E169:E181 E183:E187 E189:E191">
      <formula1>",Oui,Non"</formula1>
    </dataValidation>
  </dataValidation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2:E3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4.4297" style="183" customWidth="1"/>
    <col min="2" max="3" width="16.3516" style="183" customWidth="1"/>
    <col min="4" max="4" width="78.5" style="183" customWidth="1"/>
    <col min="5" max="5" width="16.3516" style="183" customWidth="1"/>
    <col min="6" max="16384" width="16.3516" style="183" customWidth="1"/>
  </cols>
  <sheetData>
    <row r="1" ht="27.65" customHeight="1">
      <c r="A1" t="s" s="45">
        <v>1079</v>
      </c>
      <c r="B1" s="45"/>
      <c r="C1" s="45"/>
      <c r="D1" s="45"/>
      <c r="E1" s="45"/>
    </row>
    <row r="2" ht="20.25" customHeight="1">
      <c r="A2" t="s" s="32">
        <v>209</v>
      </c>
      <c r="B2" t="s" s="32">
        <v>1081</v>
      </c>
      <c r="C2" t="s" s="32">
        <v>1082</v>
      </c>
      <c r="D2" t="s" s="32">
        <v>842</v>
      </c>
      <c r="E2" t="s" s="32">
        <v>498</v>
      </c>
    </row>
    <row r="3" ht="20.25" customHeight="1">
      <c r="A3" t="s" s="33">
        <v>1083</v>
      </c>
      <c r="B3" t="s" s="80">
        <v>1084</v>
      </c>
      <c r="C3" s="49"/>
      <c r="D3" s="81"/>
      <c r="E3" s="81"/>
    </row>
    <row r="4" ht="20.05" customHeight="1">
      <c r="A4" t="s" s="14">
        <v>1085</v>
      </c>
      <c r="B4" t="s" s="83">
        <v>1084</v>
      </c>
      <c r="C4" s="54"/>
      <c r="D4" s="19"/>
      <c r="E4" s="19"/>
    </row>
    <row r="5" ht="20.05" customHeight="1">
      <c r="A5" t="s" s="184">
        <v>1086</v>
      </c>
      <c r="B5" t="s" s="185">
        <v>1084</v>
      </c>
      <c r="C5" s="186"/>
      <c r="D5" t="s" s="187">
        <v>1087</v>
      </c>
      <c r="E5" s="188"/>
    </row>
    <row r="6" ht="20.05" customHeight="1">
      <c r="A6" t="s" s="14">
        <v>1088</v>
      </c>
      <c r="B6" t="s" s="83">
        <v>1084</v>
      </c>
      <c r="C6" s="54"/>
      <c r="D6" s="19"/>
      <c r="E6" s="19"/>
    </row>
    <row r="7" ht="20.05" customHeight="1">
      <c r="A7" t="s" s="189">
        <v>1089</v>
      </c>
      <c r="B7" t="s" s="190">
        <v>1090</v>
      </c>
      <c r="C7" s="191"/>
      <c r="D7" t="s" s="192">
        <v>1091</v>
      </c>
      <c r="E7" s="193"/>
    </row>
    <row r="8" ht="20.05" customHeight="1">
      <c r="A8" t="s" s="14">
        <v>1092</v>
      </c>
      <c r="B8" t="s" s="83">
        <v>1093</v>
      </c>
      <c r="C8" s="54"/>
      <c r="D8" s="19"/>
      <c r="E8" s="19"/>
    </row>
    <row r="9" ht="20.05" customHeight="1">
      <c r="A9" t="s" s="14">
        <v>1094</v>
      </c>
      <c r="B9" t="s" s="83">
        <v>1093</v>
      </c>
      <c r="C9" s="54">
        <v>3150</v>
      </c>
      <c r="D9" t="s" s="16">
        <v>1095</v>
      </c>
      <c r="E9" s="19"/>
    </row>
    <row r="10" ht="52.35" customHeight="1">
      <c r="A10" t="s" s="14">
        <v>1096</v>
      </c>
      <c r="B10" t="s" s="83">
        <v>1093</v>
      </c>
      <c r="C10" s="54">
        <v>1550</v>
      </c>
      <c r="D10" t="s" s="194">
        <v>1097</v>
      </c>
      <c r="E10" s="19"/>
    </row>
    <row r="11" ht="27.35" customHeight="1">
      <c r="A11" t="s" s="14">
        <v>1098</v>
      </c>
      <c r="B11" t="s" s="83">
        <v>1093</v>
      </c>
      <c r="C11" s="54"/>
      <c r="D11" s="195"/>
      <c r="E11" s="19"/>
    </row>
    <row r="12" ht="27.35" customHeight="1">
      <c r="A12" t="s" s="14">
        <v>1099</v>
      </c>
      <c r="B12" t="s" s="83">
        <v>1093</v>
      </c>
      <c r="C12" s="54"/>
      <c r="D12" s="195"/>
      <c r="E12" s="19"/>
    </row>
    <row r="13" ht="20.05" customHeight="1">
      <c r="A13" t="s" s="184">
        <v>1100</v>
      </c>
      <c r="B13" t="s" s="185">
        <v>1093</v>
      </c>
      <c r="C13" s="186"/>
      <c r="D13" t="s" s="196">
        <v>1101</v>
      </c>
      <c r="E13" s="188"/>
    </row>
    <row r="14" ht="32.05" customHeight="1">
      <c r="A14" t="s" s="14">
        <v>1102</v>
      </c>
      <c r="B14" t="s" s="83">
        <v>1103</v>
      </c>
      <c r="C14" s="54">
        <v>930</v>
      </c>
      <c r="D14" t="s" s="16">
        <v>1104</v>
      </c>
      <c r="E14" t="s" s="16">
        <v>1105</v>
      </c>
    </row>
    <row r="15" ht="20.05" customHeight="1">
      <c r="A15" t="s" s="14">
        <v>1106</v>
      </c>
      <c r="B15" t="s" s="83">
        <v>1107</v>
      </c>
      <c r="C15" s="54"/>
      <c r="D15" s="19"/>
      <c r="E15" s="19"/>
    </row>
    <row r="16" ht="20.05" customHeight="1">
      <c r="A16" t="s" s="184">
        <v>1108</v>
      </c>
      <c r="B16" t="s" s="185">
        <v>1109</v>
      </c>
      <c r="C16" s="186"/>
      <c r="D16" t="s" s="187">
        <v>1101</v>
      </c>
      <c r="E16" s="188"/>
    </row>
    <row r="17" ht="30.05" customHeight="1">
      <c r="A17" t="s" s="189">
        <v>1110</v>
      </c>
      <c r="B17" t="s" s="190">
        <v>1109</v>
      </c>
      <c r="C17" s="191"/>
      <c r="D17" t="s" s="197">
        <v>1111</v>
      </c>
      <c r="E17" s="193"/>
    </row>
    <row r="18" ht="20.05" customHeight="1">
      <c r="A18" t="s" s="189">
        <v>1112</v>
      </c>
      <c r="B18" t="s" s="190">
        <v>1109</v>
      </c>
      <c r="C18" s="191"/>
      <c r="D18" t="s" s="192">
        <v>1101</v>
      </c>
      <c r="E18" s="193"/>
    </row>
    <row r="19" ht="20.05" customHeight="1">
      <c r="A19" t="s" s="14">
        <v>1113</v>
      </c>
      <c r="B19" t="s" s="83">
        <v>1109</v>
      </c>
      <c r="C19" s="54"/>
      <c r="D19" s="19"/>
      <c r="E19" s="19"/>
    </row>
    <row r="20" ht="20.05" customHeight="1">
      <c r="A20" t="s" s="14">
        <v>1114</v>
      </c>
      <c r="B20" t="s" s="83">
        <v>1109</v>
      </c>
      <c r="C20" s="54">
        <v>873</v>
      </c>
      <c r="D20" t="s" s="16">
        <v>1115</v>
      </c>
      <c r="E20" t="s" s="16">
        <v>1116</v>
      </c>
    </row>
    <row r="21" ht="20.05" customHeight="1">
      <c r="A21" t="s" s="14">
        <v>1117</v>
      </c>
      <c r="B21" t="s" s="83">
        <v>851</v>
      </c>
      <c r="C21" s="54">
        <v>1685</v>
      </c>
      <c r="D21" t="s" s="16">
        <v>1118</v>
      </c>
      <c r="E21" s="19"/>
    </row>
    <row r="22" ht="20.05" customHeight="1">
      <c r="A22" t="s" s="189">
        <v>1119</v>
      </c>
      <c r="B22" t="s" s="190">
        <v>1120</v>
      </c>
      <c r="C22" s="191"/>
      <c r="D22" t="s" s="192">
        <v>1121</v>
      </c>
      <c r="E22" s="193"/>
    </row>
    <row r="23" ht="20.05" customHeight="1">
      <c r="A23" t="s" s="184">
        <v>1122</v>
      </c>
      <c r="B23" t="s" s="185">
        <v>1123</v>
      </c>
      <c r="C23" s="186"/>
      <c r="D23" t="s" s="187">
        <v>1121</v>
      </c>
      <c r="E23" s="188"/>
    </row>
    <row r="24" ht="20.05" customHeight="1">
      <c r="A24" t="s" s="14">
        <v>1124</v>
      </c>
      <c r="B24" t="s" s="83">
        <v>1125</v>
      </c>
      <c r="C24" s="54"/>
      <c r="D24" s="19"/>
      <c r="E24" s="19"/>
    </row>
    <row r="25" ht="20.05" customHeight="1">
      <c r="A25" t="s" s="189">
        <v>1126</v>
      </c>
      <c r="B25" t="s" s="190">
        <v>1125</v>
      </c>
      <c r="C25" s="191"/>
      <c r="D25" t="s" s="192">
        <v>1127</v>
      </c>
      <c r="E25" s="193"/>
    </row>
    <row r="26" ht="52.35" customHeight="1">
      <c r="A26" t="s" s="14">
        <v>1128</v>
      </c>
      <c r="B26" t="s" s="83">
        <v>1125</v>
      </c>
      <c r="C26" s="54">
        <v>2250</v>
      </c>
      <c r="D26" t="s" s="198">
        <v>1129</v>
      </c>
      <c r="E26" s="19"/>
    </row>
    <row r="27" ht="20.05" customHeight="1">
      <c r="A27" t="s" s="14">
        <v>1130</v>
      </c>
      <c r="B27" t="s" s="83">
        <v>1125</v>
      </c>
      <c r="C27" s="54"/>
      <c r="D27" s="19"/>
      <c r="E27" s="19"/>
    </row>
    <row r="28" ht="20.05" customHeight="1">
      <c r="A28" t="s" s="14">
        <v>1131</v>
      </c>
      <c r="B28" t="s" s="83">
        <v>1132</v>
      </c>
      <c r="C28" s="54"/>
      <c r="D28" s="19"/>
      <c r="E28" s="19"/>
    </row>
    <row r="29" ht="20.05" customHeight="1">
      <c r="A29" t="s" s="14">
        <v>1133</v>
      </c>
      <c r="B29" t="s" s="83">
        <v>1134</v>
      </c>
      <c r="C29" s="54">
        <v>2358</v>
      </c>
      <c r="D29" t="s" s="16">
        <v>1135</v>
      </c>
      <c r="E29" s="19"/>
    </row>
    <row r="30" ht="32.05" customHeight="1">
      <c r="A30" t="s" s="14">
        <v>1136</v>
      </c>
      <c r="B30" t="s" s="83">
        <v>1134</v>
      </c>
      <c r="C30" s="54">
        <v>1496</v>
      </c>
      <c r="D30" t="s" s="16">
        <v>1137</v>
      </c>
      <c r="E30" t="s" s="16">
        <v>1138</v>
      </c>
    </row>
    <row r="31" ht="20.05" customHeight="1">
      <c r="A31" t="s" s="14">
        <v>1139</v>
      </c>
      <c r="B31" t="s" s="83">
        <v>1134</v>
      </c>
      <c r="C31" s="54">
        <v>2800</v>
      </c>
      <c r="D31" t="s" s="16">
        <v>1140</v>
      </c>
      <c r="E31" s="19"/>
    </row>
    <row r="32" ht="188.05" customHeight="1">
      <c r="A32" t="s" s="14">
        <v>1141</v>
      </c>
      <c r="B32" t="s" s="83">
        <v>1134</v>
      </c>
      <c r="C32" s="54">
        <v>3139</v>
      </c>
      <c r="D32" t="s" s="16">
        <v>1142</v>
      </c>
      <c r="E32" s="19"/>
    </row>
    <row r="33" ht="20.05" customHeight="1">
      <c r="A33" t="s" s="14">
        <v>1143</v>
      </c>
      <c r="B33" t="s" s="83">
        <v>847</v>
      </c>
      <c r="C33" s="54"/>
      <c r="D33" s="19"/>
      <c r="E33" s="19"/>
    </row>
    <row r="34" ht="20.05" customHeight="1">
      <c r="A34" t="s" s="184">
        <v>1144</v>
      </c>
      <c r="B34" t="s" s="185">
        <v>847</v>
      </c>
      <c r="C34" s="186"/>
      <c r="D34" t="s" s="187">
        <v>1145</v>
      </c>
      <c r="E34" s="188"/>
    </row>
    <row r="35" ht="20.05" customHeight="1">
      <c r="A35" t="s" s="184">
        <v>1146</v>
      </c>
      <c r="B35" t="s" s="185">
        <v>847</v>
      </c>
      <c r="C35" s="186"/>
      <c r="D35" t="s" s="187">
        <v>1147</v>
      </c>
      <c r="E35" s="188"/>
    </row>
    <row r="36" ht="20.05" customHeight="1">
      <c r="A36" t="s" s="14">
        <v>1148</v>
      </c>
      <c r="B36" t="s" s="83">
        <v>847</v>
      </c>
      <c r="C36" s="54"/>
      <c r="D36" s="19"/>
      <c r="E36" s="19"/>
    </row>
    <row r="37" ht="32.05" customHeight="1">
      <c r="A37" t="s" s="14">
        <v>1149</v>
      </c>
      <c r="B37" t="s" s="83">
        <v>847</v>
      </c>
      <c r="C37" s="54">
        <v>600</v>
      </c>
      <c r="D37" t="s" s="16">
        <v>1150</v>
      </c>
      <c r="E37" t="s" s="16">
        <v>1151</v>
      </c>
    </row>
  </sheetData>
  <mergeCells count="1">
    <mergeCell ref="A1:E1"/>
  </mergeCells>
  <hyperlinks>
    <hyperlink ref="D26" r:id="rId1" location="" tooltip="" display="resthome21.com"/>
    <hyperlink ref="E37" r:id="rId2" location="" tooltip="" display="https://biere-truck.fr/tarif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2:F1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4.4297" style="199" customWidth="1"/>
    <col min="2" max="4" width="16.3516" style="199" customWidth="1"/>
    <col min="5" max="5" width="78.5" style="199" customWidth="1"/>
    <col min="6" max="6" width="16.3516" style="199" customWidth="1"/>
    <col min="7" max="16384" width="16.3516" style="199" customWidth="1"/>
  </cols>
  <sheetData>
    <row r="1" ht="27.65" customHeight="1">
      <c r="A1" t="s" s="45">
        <v>1152</v>
      </c>
      <c r="B1" s="45"/>
      <c r="C1" s="45"/>
      <c r="D1" s="45"/>
      <c r="E1" s="45"/>
      <c r="F1" s="45"/>
    </row>
    <row r="2" ht="20.25" customHeight="1">
      <c r="A2" t="s" s="200">
        <v>209</v>
      </c>
      <c r="B2" t="s" s="201">
        <v>1081</v>
      </c>
      <c r="C2" t="s" s="201">
        <v>1082</v>
      </c>
      <c r="D2" t="s" s="201">
        <v>1154</v>
      </c>
      <c r="E2" t="s" s="201">
        <v>842</v>
      </c>
      <c r="F2" t="s" s="202">
        <v>498</v>
      </c>
    </row>
    <row r="3" ht="32.25" customHeight="1">
      <c r="A3" t="s" s="203">
        <v>1155</v>
      </c>
      <c r="B3" t="s" s="80">
        <v>1156</v>
      </c>
      <c r="C3" t="s" s="204">
        <v>1157</v>
      </c>
      <c r="D3" s="81"/>
      <c r="E3" s="81"/>
      <c r="F3" t="s" s="205">
        <v>1158</v>
      </c>
    </row>
    <row r="4" ht="32.05" customHeight="1">
      <c r="A4" t="s" s="206">
        <v>1159</v>
      </c>
      <c r="B4" t="s" s="83">
        <v>224</v>
      </c>
      <c r="C4" s="54">
        <v>2570</v>
      </c>
      <c r="D4" s="54" cm="1">
        <f t="array" ref="D4">C4/'Invités'!$S$91</f>
        <v>34.7297297297297</v>
      </c>
      <c r="E4" t="s" s="207">
        <v>1160</v>
      </c>
      <c r="F4" t="s" s="208">
        <v>1161</v>
      </c>
    </row>
    <row r="5" ht="32.05" customHeight="1">
      <c r="A5" t="s" s="206">
        <v>1162</v>
      </c>
      <c r="B5" t="s" s="83">
        <v>1156</v>
      </c>
      <c r="C5" s="54"/>
      <c r="D5" s="54"/>
      <c r="E5" t="s" s="207">
        <v>1163</v>
      </c>
      <c r="F5" t="s" s="208">
        <v>1164</v>
      </c>
    </row>
    <row r="6" ht="32.05" customHeight="1">
      <c r="A6" t="s" s="206">
        <v>1165</v>
      </c>
      <c r="B6" t="s" s="83">
        <v>224</v>
      </c>
      <c r="C6" s="54">
        <v>2186</v>
      </c>
      <c r="D6" s="54"/>
      <c r="E6" t="s" s="16">
        <v>1166</v>
      </c>
      <c r="F6" t="s" s="208">
        <v>1167</v>
      </c>
    </row>
    <row r="7" ht="32.05" customHeight="1">
      <c r="A7" t="s" s="209">
        <v>1168</v>
      </c>
      <c r="B7" t="s" s="83">
        <v>224</v>
      </c>
      <c r="C7" s="54">
        <v>900</v>
      </c>
      <c r="D7" s="54"/>
      <c r="E7" t="s" s="16">
        <v>1169</v>
      </c>
      <c r="F7" t="s" s="208">
        <v>1170</v>
      </c>
    </row>
    <row r="8" ht="44.05" customHeight="1">
      <c r="A8" t="s" s="206">
        <v>1171</v>
      </c>
      <c r="B8" t="s" s="83">
        <v>224</v>
      </c>
      <c r="C8" s="54"/>
      <c r="D8" s="54"/>
      <c r="E8" s="19"/>
      <c r="F8" t="s" s="208">
        <v>1172</v>
      </c>
    </row>
    <row r="9" ht="68.05" customHeight="1">
      <c r="A9" t="s" s="206">
        <v>1173</v>
      </c>
      <c r="B9" t="s" s="83">
        <v>224</v>
      </c>
      <c r="C9" s="54"/>
      <c r="D9" s="54"/>
      <c r="E9" s="19"/>
      <c r="F9" t="s" s="208">
        <v>1174</v>
      </c>
    </row>
    <row r="10" ht="56.05" customHeight="1">
      <c r="A10" t="s" s="206">
        <v>1175</v>
      </c>
      <c r="B10" t="s" s="83">
        <v>224</v>
      </c>
      <c r="C10" s="54"/>
      <c r="D10" s="54"/>
      <c r="E10" t="s" s="16">
        <v>1176</v>
      </c>
      <c r="F10" t="s" s="208">
        <v>1177</v>
      </c>
    </row>
    <row r="11" ht="44.05" customHeight="1">
      <c r="A11" t="s" s="206">
        <v>1178</v>
      </c>
      <c r="B11" t="s" s="83">
        <v>224</v>
      </c>
      <c r="C11" s="54"/>
      <c r="D11" s="54"/>
      <c r="E11" t="s" s="16">
        <v>1179</v>
      </c>
      <c r="F11" t="s" s="208">
        <v>1180</v>
      </c>
    </row>
    <row r="12" ht="44.05" customHeight="1">
      <c r="A12" t="s" s="206">
        <v>1181</v>
      </c>
      <c r="B12" t="s" s="83">
        <v>224</v>
      </c>
      <c r="C12" s="54"/>
      <c r="D12" s="54"/>
      <c r="E12" t="s" s="16">
        <v>1182</v>
      </c>
      <c r="F12" t="s" s="208">
        <v>1183</v>
      </c>
    </row>
    <row r="13" ht="104.05" customHeight="1">
      <c r="A13" t="s" s="206">
        <v>1184</v>
      </c>
      <c r="B13" t="s" s="83">
        <v>224</v>
      </c>
      <c r="C13" s="54"/>
      <c r="D13" s="54"/>
      <c r="E13" s="19"/>
      <c r="F13" t="s" s="208">
        <v>1185</v>
      </c>
    </row>
    <row r="14" ht="32.05" customHeight="1">
      <c r="A14" t="s" s="206">
        <v>1186</v>
      </c>
      <c r="B14" t="s" s="83">
        <v>224</v>
      </c>
      <c r="C14" s="54"/>
      <c r="D14" s="54"/>
      <c r="E14" s="19"/>
      <c r="F14" t="s" s="210">
        <v>1187</v>
      </c>
    </row>
    <row r="15" ht="44.05" customHeight="1">
      <c r="A15" t="s" s="206">
        <v>1188</v>
      </c>
      <c r="B15" t="s" s="83">
        <v>224</v>
      </c>
      <c r="C15" s="54"/>
      <c r="D15" s="54"/>
      <c r="E15" t="s" s="16">
        <v>1189</v>
      </c>
      <c r="F15" t="s" s="210">
        <v>1190</v>
      </c>
    </row>
    <row r="16" ht="44.05" customHeight="1">
      <c r="A16" t="s" s="206">
        <v>1191</v>
      </c>
      <c r="B16" t="s" s="83">
        <v>224</v>
      </c>
      <c r="C16" s="54"/>
      <c r="D16" s="54"/>
      <c r="E16" t="s" s="16">
        <v>1192</v>
      </c>
      <c r="F16" t="s" s="210">
        <v>1193</v>
      </c>
    </row>
    <row r="17" ht="44.05" customHeight="1">
      <c r="A17" t="s" s="211">
        <v>1194</v>
      </c>
      <c r="B17" t="s" s="212">
        <v>224</v>
      </c>
      <c r="C17" s="213"/>
      <c r="D17" s="213"/>
      <c r="E17" s="214"/>
      <c r="F17" t="s" s="215">
        <v>1195</v>
      </c>
    </row>
  </sheetData>
  <mergeCells count="1">
    <mergeCell ref="A1:F1"/>
  </mergeCells>
  <hyperlinks>
    <hyperlink ref="F3" r:id="rId1" location="" tooltip="" display="saveursdelastrolabe@gmail.com"/>
    <hyperlink ref="F4" r:id="rId2" location="" tooltip="" display="contact@frushparis.com"/>
    <hyperlink ref="F5" r:id="rId3" location="" tooltip="" display="crepestroopers@gmail.com"/>
    <hyperlink ref="F6" r:id="rId4" location="" tooltip="" display="contact@onlybrunch.fr"/>
    <hyperlink ref="E7" r:id="rId5" location="" tooltip="" display="https://docs.google.com/spreadsheets/d/19l5phokZF2XZjeLtiz9Oy7kY7lfZbUJk4QnpF3BRvF4/edit?gid=2050704359#gid=2050704359"/>
    <hyperlink ref="F7" r:id="rId6" location="" tooltip="" display="brunchpourmoi@gmail.com"/>
    <hyperlink ref="F8" r:id="rId7" location="" tooltip="" display="https://www.bruncheure.fr/demande-de-devis"/>
    <hyperlink ref="F9" r:id="rId8" location="" tooltip="" display="https://www.instagram.com/lestoquesdebrunchco/"/>
    <hyperlink ref="F10" r:id="rId9" location="" tooltip="" display="https://www.collet-traiteur.fr/public/files/69eb84aa9ec2a.pdf"/>
    <hyperlink ref="F11" r:id="rId10" location="" tooltip="" display="https://www.avotregout.fr/services/brunch"/>
    <hyperlink ref="F12" r:id="rId11" location="" tooltip="" display="https://www.briffaut-traiteur.fr/"/>
    <hyperlink ref="F13" r:id="rId12" location="" tooltip="" display="https://www.facebook.com/profile.php?id=61557985466386&amp;utm_source=ig&amp;utm_medium=social&amp;utm_content=link_in_bio"/>
    <hyperlink ref="F14" r:id="rId13" location="" tooltip="" display="contact@terroir-epicure.com"/>
    <hyperlink ref="F15" r:id="rId14" location="" tooltip="" display="https://www.groupe-hauville.com/"/>
    <hyperlink ref="F16" r:id="rId15" location="" tooltip="" display="https://grandchemintraiteur.fr/"/>
    <hyperlink ref="F17" r:id="rId16" location="" tooltip="" display="https://www.epicura-receptions.fr/"/>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2:D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1.0078" style="216" customWidth="1"/>
    <col min="2" max="2" width="16.3516" style="216" customWidth="1"/>
    <col min="3" max="3" width="29.9844" style="216" customWidth="1"/>
    <col min="4" max="4" width="41.0625" style="216" customWidth="1"/>
    <col min="5" max="16384" width="16.3516" style="216" customWidth="1"/>
  </cols>
  <sheetData>
    <row r="1" ht="27.65" customHeight="1">
      <c r="A1" t="s" s="45">
        <v>1197</v>
      </c>
      <c r="B1" s="45"/>
      <c r="C1" s="45"/>
      <c r="D1" s="45"/>
    </row>
    <row r="2" ht="20.25" customHeight="1">
      <c r="A2" t="s" s="32">
        <v>1199</v>
      </c>
      <c r="B2" t="s" s="32">
        <v>1200</v>
      </c>
      <c r="C2" t="s" s="32">
        <v>1201</v>
      </c>
      <c r="D2" t="s" s="32">
        <v>1202</v>
      </c>
    </row>
    <row r="3" ht="20.25" customHeight="1">
      <c r="A3" t="s" s="33">
        <v>1203</v>
      </c>
      <c r="B3" s="217">
        <v>2</v>
      </c>
      <c r="C3" t="s" s="68">
        <v>1204</v>
      </c>
      <c r="D3" t="s" s="68">
        <v>1205</v>
      </c>
    </row>
    <row r="4" ht="20.05" customHeight="1">
      <c r="A4" t="s" s="14">
        <v>1206</v>
      </c>
      <c r="B4" s="218">
        <v>4</v>
      </c>
      <c r="C4" t="s" s="16">
        <v>1207</v>
      </c>
      <c r="D4" t="s" s="16">
        <v>1208</v>
      </c>
    </row>
    <row r="5" ht="20.05" customHeight="1">
      <c r="A5" t="s" s="14">
        <v>1209</v>
      </c>
      <c r="B5" s="218">
        <v>4</v>
      </c>
      <c r="C5" t="s" s="16">
        <v>1207</v>
      </c>
      <c r="D5" t="s" s="16">
        <v>1210</v>
      </c>
    </row>
    <row r="6" ht="20.05" customHeight="1">
      <c r="A6" t="s" s="14">
        <v>1211</v>
      </c>
      <c r="B6" s="218">
        <v>4</v>
      </c>
      <c r="C6" t="s" s="16">
        <v>1207</v>
      </c>
      <c r="D6" t="s" s="16">
        <v>1212</v>
      </c>
    </row>
    <row r="7" ht="20.05" customHeight="1">
      <c r="A7" t="s" s="14">
        <v>1213</v>
      </c>
      <c r="B7" s="218">
        <v>2</v>
      </c>
      <c r="C7" t="s" s="16">
        <v>1204</v>
      </c>
      <c r="D7" t="s" s="16">
        <v>1214</v>
      </c>
    </row>
    <row r="8" ht="20.25" customHeight="1">
      <c r="A8" t="s" s="85">
        <v>1215</v>
      </c>
      <c r="B8" s="219">
        <v>6</v>
      </c>
      <c r="C8" t="s" s="87">
        <v>1216</v>
      </c>
      <c r="D8" t="s" s="87">
        <v>1217</v>
      </c>
    </row>
    <row r="9" ht="20.25" customHeight="1">
      <c r="A9" s="74"/>
      <c r="B9" s="220" cm="1">
        <f t="array" ref="B9">SUM(B3:B8)</f>
        <v>22</v>
      </c>
      <c r="C9" s="74"/>
      <c r="D9" s="74"/>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2:D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1.0078" style="221" customWidth="1"/>
    <col min="2" max="2" width="16.3516" style="221" customWidth="1"/>
    <col min="3" max="3" width="29.9844" style="221" customWidth="1"/>
    <col min="4" max="4" width="41.0859" style="221" customWidth="1"/>
    <col min="5" max="16384" width="16.3516" style="221" customWidth="1"/>
  </cols>
  <sheetData>
    <row r="1" ht="27.65" customHeight="1">
      <c r="A1" t="s" s="45">
        <v>1218</v>
      </c>
      <c r="B1" s="45"/>
      <c r="C1" s="45"/>
      <c r="D1" s="45"/>
    </row>
    <row r="2" ht="20.25" customHeight="1">
      <c r="A2" t="s" s="32">
        <v>1199</v>
      </c>
      <c r="B2" t="s" s="32">
        <v>1200</v>
      </c>
      <c r="C2" t="s" s="32">
        <v>1201</v>
      </c>
      <c r="D2" t="s" s="32">
        <v>1202</v>
      </c>
    </row>
    <row r="3" ht="20.25" customHeight="1">
      <c r="A3" t="s" s="33">
        <v>1220</v>
      </c>
      <c r="B3" s="217">
        <v>2</v>
      </c>
      <c r="C3" t="s" s="68">
        <v>1204</v>
      </c>
      <c r="D3" t="s" s="68">
        <v>75</v>
      </c>
    </row>
    <row r="4" ht="20.05" customHeight="1">
      <c r="A4" t="s" s="14">
        <v>1221</v>
      </c>
      <c r="B4" s="218">
        <v>4</v>
      </c>
      <c r="C4" t="s" s="16">
        <v>1222</v>
      </c>
      <c r="D4" t="s" s="16">
        <v>1223</v>
      </c>
    </row>
    <row r="5" ht="20.25" customHeight="1">
      <c r="A5" t="s" s="85">
        <v>1224</v>
      </c>
      <c r="B5" s="219">
        <v>5</v>
      </c>
      <c r="C5" t="s" s="87">
        <v>1225</v>
      </c>
      <c r="D5" t="s" s="87">
        <v>1226</v>
      </c>
    </row>
    <row r="6" ht="20.25" customHeight="1">
      <c r="A6" s="74"/>
      <c r="B6" s="220" cm="1">
        <f t="array" ref="B6">SUM(B3:B5)</f>
        <v>11</v>
      </c>
      <c r="C6" s="74"/>
      <c r="D6" s="74"/>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2:D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1.0078" style="222" customWidth="1"/>
    <col min="2" max="2" width="16.3516" style="222" customWidth="1"/>
    <col min="3" max="3" width="29.9844" style="222" customWidth="1"/>
    <col min="4" max="4" width="41.0859" style="222" customWidth="1"/>
    <col min="5" max="16384" width="16.3516" style="222" customWidth="1"/>
  </cols>
  <sheetData>
    <row r="1" ht="27.65" customHeight="1">
      <c r="A1" t="s" s="45">
        <v>1227</v>
      </c>
      <c r="B1" s="45"/>
      <c r="C1" s="45"/>
      <c r="D1" s="45"/>
    </row>
    <row r="2" ht="20.25" customHeight="1">
      <c r="A2" t="s" s="32">
        <v>1199</v>
      </c>
      <c r="B2" t="s" s="32">
        <v>1200</v>
      </c>
      <c r="C2" t="s" s="32">
        <v>1201</v>
      </c>
      <c r="D2" t="s" s="32">
        <v>1202</v>
      </c>
    </row>
    <row r="3" ht="20.45" customHeight="1">
      <c r="A3" t="s" s="223">
        <v>1229</v>
      </c>
      <c r="B3" s="224">
        <v>3</v>
      </c>
      <c r="C3" t="s" s="225">
        <v>1230</v>
      </c>
      <c r="D3" t="s" s="225">
        <v>1231</v>
      </c>
    </row>
    <row r="4" ht="20.25" customHeight="1">
      <c r="A4" s="74"/>
      <c r="B4" s="220" cm="1">
        <f t="array" ref="B4">SUM(B3:B3)</f>
        <v>3</v>
      </c>
      <c r="C4" s="74"/>
      <c r="D4" s="74"/>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2:D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1.0078" style="226" customWidth="1"/>
    <col min="2" max="2" width="16.3516" style="226" customWidth="1"/>
    <col min="3" max="3" width="29.9531" style="226" customWidth="1"/>
    <col min="4" max="4" width="41.0625" style="226" customWidth="1"/>
    <col min="5" max="16384" width="16.3516" style="226" customWidth="1"/>
  </cols>
  <sheetData>
    <row r="1" ht="27.65" customHeight="1">
      <c r="A1" t="s" s="45">
        <v>1232</v>
      </c>
      <c r="B1" s="45"/>
      <c r="C1" s="45"/>
      <c r="D1" s="45"/>
    </row>
    <row r="2" ht="20.25" customHeight="1">
      <c r="A2" t="s" s="32">
        <v>1199</v>
      </c>
      <c r="B2" t="s" s="32">
        <v>1200</v>
      </c>
      <c r="C2" t="s" s="32">
        <v>1201</v>
      </c>
      <c r="D2" t="s" s="32">
        <v>1202</v>
      </c>
    </row>
    <row r="3" ht="20.25" customHeight="1">
      <c r="A3" t="s" s="33">
        <v>1234</v>
      </c>
      <c r="B3" s="217">
        <v>2</v>
      </c>
      <c r="C3" t="s" s="68">
        <v>1204</v>
      </c>
      <c r="D3" t="s" s="68">
        <v>1235</v>
      </c>
    </row>
    <row r="4" ht="20.05" customHeight="1">
      <c r="A4" t="s" s="14">
        <v>1236</v>
      </c>
      <c r="B4" s="218">
        <v>2</v>
      </c>
      <c r="C4" t="s" s="16">
        <v>1204</v>
      </c>
      <c r="D4" t="s" s="16">
        <v>1237</v>
      </c>
    </row>
    <row r="5" ht="20.05" customHeight="1">
      <c r="A5" t="s" s="14">
        <v>1238</v>
      </c>
      <c r="B5" s="218">
        <v>2</v>
      </c>
      <c r="C5" t="s" s="16">
        <v>1204</v>
      </c>
      <c r="D5" t="s" s="16">
        <v>1239</v>
      </c>
    </row>
    <row r="6" ht="20.05" customHeight="1">
      <c r="A6" t="s" s="14">
        <v>1240</v>
      </c>
      <c r="B6" s="218">
        <v>2</v>
      </c>
      <c r="C6" t="s" s="16">
        <v>1204</v>
      </c>
      <c r="D6" t="s" s="16">
        <v>1241</v>
      </c>
    </row>
    <row r="7" ht="20.05" customHeight="1">
      <c r="A7" t="s" s="14">
        <v>1242</v>
      </c>
      <c r="B7" s="218">
        <v>2</v>
      </c>
      <c r="C7" t="s" s="16">
        <v>1243</v>
      </c>
      <c r="D7" t="s" s="16">
        <v>1244</v>
      </c>
    </row>
    <row r="8" ht="20.05" customHeight="1">
      <c r="A8" t="s" s="14">
        <v>1245</v>
      </c>
      <c r="B8" s="218">
        <v>4</v>
      </c>
      <c r="C8" t="s" s="16">
        <v>1216</v>
      </c>
      <c r="D8" t="s" s="16">
        <v>1246</v>
      </c>
    </row>
    <row r="9" ht="20.05" customHeight="1">
      <c r="A9" t="s" s="14">
        <v>1247</v>
      </c>
      <c r="B9" s="218">
        <v>4</v>
      </c>
      <c r="C9" t="s" s="16">
        <v>1243</v>
      </c>
      <c r="D9" t="s" s="16">
        <v>1248</v>
      </c>
    </row>
    <row r="10" ht="20.05" customHeight="1">
      <c r="A10" t="s" s="14">
        <v>1249</v>
      </c>
      <c r="B10" s="218">
        <v>4</v>
      </c>
      <c r="C10" t="s" s="16">
        <v>1243</v>
      </c>
      <c r="D10" t="s" s="16">
        <v>1250</v>
      </c>
    </row>
    <row r="11" ht="20.05" customHeight="1">
      <c r="A11" t="s" s="14">
        <v>1251</v>
      </c>
      <c r="B11" s="218">
        <v>4</v>
      </c>
      <c r="C11" t="s" s="16">
        <v>1252</v>
      </c>
      <c r="D11" t="s" s="16">
        <v>1253</v>
      </c>
    </row>
    <row r="12" ht="20.05" customHeight="1">
      <c r="A12" t="s" s="14">
        <v>1254</v>
      </c>
      <c r="B12" s="218">
        <v>4</v>
      </c>
      <c r="C12" t="s" s="16">
        <v>1255</v>
      </c>
      <c r="D12" t="s" s="16">
        <v>1256</v>
      </c>
    </row>
    <row r="13" ht="20.05" customHeight="1">
      <c r="A13" t="s" s="14">
        <v>1257</v>
      </c>
      <c r="B13" s="218">
        <v>4</v>
      </c>
      <c r="C13" t="s" s="16">
        <v>1255</v>
      </c>
      <c r="D13" t="s" s="16">
        <v>1258</v>
      </c>
    </row>
    <row r="14" ht="20.05" customHeight="1">
      <c r="A14" t="s" s="227">
        <v>1259</v>
      </c>
      <c r="B14" s="218">
        <v>4</v>
      </c>
      <c r="C14" t="s" s="16">
        <v>1260</v>
      </c>
      <c r="D14" t="s" s="16">
        <v>1261</v>
      </c>
    </row>
    <row r="15" ht="20.05" customHeight="1">
      <c r="A15" t="s" s="227">
        <v>1262</v>
      </c>
      <c r="B15" s="218">
        <v>4</v>
      </c>
      <c r="C15" t="s" s="16">
        <v>1255</v>
      </c>
      <c r="D15" t="s" s="16">
        <v>1263</v>
      </c>
    </row>
    <row r="16" ht="20.05" customHeight="1">
      <c r="A16" t="s" s="227">
        <v>1264</v>
      </c>
      <c r="B16" s="218">
        <v>4</v>
      </c>
      <c r="C16" t="s" s="16">
        <v>1255</v>
      </c>
      <c r="D16" t="s" s="16">
        <v>1265</v>
      </c>
    </row>
    <row r="17" ht="20.25" customHeight="1">
      <c r="A17" t="s" s="228">
        <v>1266</v>
      </c>
      <c r="B17" s="219">
        <v>4</v>
      </c>
      <c r="C17" t="s" s="87">
        <v>1255</v>
      </c>
      <c r="D17" t="s" s="87">
        <v>1267</v>
      </c>
    </row>
    <row r="18" ht="20.25" customHeight="1">
      <c r="A18" s="74"/>
      <c r="B18" s="220" cm="1">
        <f t="array" ref="B18">SUM(B3:B17)</f>
        <v>50</v>
      </c>
      <c r="C18" s="74"/>
      <c r="D18" s="74"/>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D5"/>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3" width="16.3516" style="229" customWidth="1"/>
    <col min="4" max="4" width="30.4766" style="229" customWidth="1"/>
    <col min="5" max="16384" width="16.3516" style="229" customWidth="1"/>
  </cols>
  <sheetData>
    <row r="1" ht="20.25" customHeight="1">
      <c r="A1" s="79"/>
      <c r="B1" t="s" s="32">
        <v>842</v>
      </c>
      <c r="C1" t="s" s="32">
        <v>1082</v>
      </c>
      <c r="D1" t="s" s="32">
        <v>842</v>
      </c>
    </row>
    <row r="2" ht="20.25" customHeight="1">
      <c r="A2" t="s" s="47">
        <v>1269</v>
      </c>
      <c r="B2" s="230"/>
      <c r="C2" s="49">
        <v>299</v>
      </c>
      <c r="D2" s="81"/>
    </row>
    <row r="3" ht="20.05" customHeight="1">
      <c r="A3" t="s" s="52">
        <v>1270</v>
      </c>
      <c r="B3" s="18"/>
      <c r="C3" s="54">
        <v>1068</v>
      </c>
      <c r="D3" t="s" s="16">
        <v>1271</v>
      </c>
    </row>
    <row r="4" ht="20.25" customHeight="1">
      <c r="A4" t="s" s="57">
        <v>1272</v>
      </c>
      <c r="B4" s="22"/>
      <c r="C4" s="59">
        <v>750</v>
      </c>
      <c r="D4" s="23"/>
    </row>
    <row r="5" ht="20.25" customHeight="1">
      <c r="A5" s="75"/>
      <c r="B5" s="74"/>
      <c r="C5" s="63" cm="1">
        <f t="array" ref="C5">SUM(C2:C4)</f>
        <v>2117</v>
      </c>
      <c r="D5" s="7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31" customWidth="1"/>
    <col min="6" max="16384" width="16.3516" style="231" customWidth="1"/>
  </cols>
  <sheetData>
    <row r="1" ht="27.65" customHeight="1">
      <c r="A1" t="s" s="45">
        <v>1273</v>
      </c>
      <c r="B1" s="45"/>
      <c r="C1" s="45"/>
      <c r="D1" s="45"/>
      <c r="E1" s="45"/>
    </row>
    <row r="2" ht="20.25" customHeight="1">
      <c r="A2" s="79"/>
      <c r="B2" s="79"/>
      <c r="C2" s="79"/>
      <c r="D2" s="79"/>
      <c r="E2" s="79"/>
    </row>
    <row r="3" ht="20.25" customHeight="1">
      <c r="A3" s="232"/>
      <c r="B3" s="233"/>
      <c r="C3" s="94"/>
      <c r="D3" s="94"/>
      <c r="E3" s="94"/>
    </row>
    <row r="4" ht="20.05" customHeight="1">
      <c r="A4" s="37"/>
      <c r="B4" s="234"/>
      <c r="C4" s="43"/>
      <c r="D4" s="43"/>
      <c r="E4" s="43"/>
    </row>
    <row r="5" ht="20.05" customHeight="1">
      <c r="A5" s="37"/>
      <c r="B5" s="234"/>
      <c r="C5" s="43"/>
      <c r="D5" s="43"/>
      <c r="E5" s="43"/>
    </row>
    <row r="6" ht="20.05" customHeight="1">
      <c r="A6" s="37"/>
      <c r="B6" s="234"/>
      <c r="C6" s="43"/>
      <c r="D6" s="43"/>
      <c r="E6" s="43"/>
    </row>
    <row r="7" ht="20.05" customHeight="1">
      <c r="A7" s="37"/>
      <c r="B7" s="234"/>
      <c r="C7" s="43"/>
      <c r="D7" s="43"/>
      <c r="E7" s="43"/>
    </row>
    <row r="8" ht="20.05" customHeight="1">
      <c r="A8" s="37"/>
      <c r="B8" s="234"/>
      <c r="C8" s="43"/>
      <c r="D8" s="43"/>
      <c r="E8" s="43"/>
    </row>
    <row r="9" ht="20.05" customHeight="1">
      <c r="A9" s="37"/>
      <c r="B9" s="234"/>
      <c r="C9" s="43"/>
      <c r="D9" s="43"/>
      <c r="E9" s="43"/>
    </row>
    <row r="10" ht="20.05" customHeight="1">
      <c r="A10" s="37"/>
      <c r="B10" s="234"/>
      <c r="C10" s="43"/>
      <c r="D10" s="43"/>
      <c r="E10" s="43"/>
    </row>
    <row r="11" ht="20.05" customHeight="1">
      <c r="A11" s="37"/>
      <c r="B11" s="234"/>
      <c r="C11" s="43"/>
      <c r="D11" s="43"/>
      <c r="E11" s="43"/>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D6"/>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23.2656" style="235" customWidth="1"/>
    <col min="2" max="3" width="16.3516" style="235" customWidth="1"/>
    <col min="4" max="4" width="34.6406" style="235" customWidth="1"/>
    <col min="5" max="16384" width="16.3516" style="235" customWidth="1"/>
  </cols>
  <sheetData>
    <row r="1" ht="20.25" customHeight="1">
      <c r="A1" s="79"/>
      <c r="B1" t="s" s="32">
        <v>842</v>
      </c>
      <c r="C1" t="s" s="32">
        <v>1082</v>
      </c>
      <c r="D1" t="s" s="32">
        <v>1275</v>
      </c>
    </row>
    <row r="2" ht="20.25" customHeight="1">
      <c r="A2" t="s" s="47">
        <v>1276</v>
      </c>
      <c r="B2" t="s" s="80">
        <v>1277</v>
      </c>
      <c r="C2" s="49">
        <v>620</v>
      </c>
      <c r="D2" t="s" s="68">
        <v>1278</v>
      </c>
    </row>
    <row r="3" ht="20.05" customHeight="1">
      <c r="A3" t="s" s="52">
        <v>1279</v>
      </c>
      <c r="B3" t="s" s="83">
        <v>1280</v>
      </c>
      <c r="C3" s="54">
        <v>673.34</v>
      </c>
      <c r="D3" t="s" s="16">
        <v>145</v>
      </c>
    </row>
    <row r="4" ht="20.05" customHeight="1">
      <c r="A4" t="s" s="52">
        <v>1281</v>
      </c>
      <c r="B4" t="s" s="83">
        <v>1282</v>
      </c>
      <c r="C4" s="54">
        <v>1790</v>
      </c>
      <c r="D4" t="s" s="16">
        <v>1283</v>
      </c>
    </row>
    <row r="5" ht="20.25" customHeight="1">
      <c r="A5" t="s" s="57">
        <v>1284</v>
      </c>
      <c r="B5" t="s" s="86">
        <v>1285</v>
      </c>
      <c r="C5" s="59">
        <v>750</v>
      </c>
      <c r="D5" t="s" s="87">
        <v>1283</v>
      </c>
    </row>
    <row r="6" ht="20.25" customHeight="1">
      <c r="A6" t="s" s="62">
        <v>191</v>
      </c>
      <c r="B6" s="75"/>
      <c r="C6" s="63" cm="1">
        <f t="array" ref="C6">SUM(C2:C5)</f>
        <v>3833.34</v>
      </c>
      <c r="D6" s="74"/>
    </row>
  </sheetData>
  <mergeCells count="1">
    <mergeCell ref="A6:B6"/>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D8"/>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27.5234" style="236" customWidth="1"/>
    <col min="2" max="2" width="16.3516" style="236" customWidth="1"/>
    <col min="3" max="3" width="29.6875" style="236" customWidth="1"/>
    <col min="4" max="4" width="52.5625" style="236" customWidth="1"/>
    <col min="5" max="16384" width="16.3516" style="236" customWidth="1"/>
  </cols>
  <sheetData>
    <row r="1" ht="20.25" customHeight="1">
      <c r="A1" s="79"/>
      <c r="B1" t="s" s="32">
        <v>1082</v>
      </c>
      <c r="C1" t="s" s="32">
        <v>842</v>
      </c>
      <c r="D1" t="s" s="32">
        <v>498</v>
      </c>
    </row>
    <row r="2" ht="32.25" customHeight="1">
      <c r="A2" t="s" s="237">
        <v>1287</v>
      </c>
      <c r="B2" s="48" cm="1">
        <f t="array" ref="B2">'Activités - Devis Coordinatrice'!C4</f>
        <v>949</v>
      </c>
      <c r="C2" t="s" s="68">
        <v>1288</v>
      </c>
      <c r="D2" t="s" s="68">
        <v>1289</v>
      </c>
    </row>
    <row r="3" ht="20.05" customHeight="1">
      <c r="A3" t="s" s="52">
        <v>1290</v>
      </c>
      <c r="B3" s="53">
        <v>400</v>
      </c>
      <c r="C3" s="19"/>
      <c r="D3" s="19"/>
    </row>
    <row r="4" ht="20.05" customHeight="1">
      <c r="A4" t="s" s="52">
        <v>1291</v>
      </c>
      <c r="B4" s="53">
        <v>80</v>
      </c>
      <c r="C4" t="s" s="16">
        <v>1292</v>
      </c>
      <c r="D4" s="19"/>
    </row>
    <row r="5" ht="20.05" customHeight="1">
      <c r="A5" t="s" s="52">
        <v>1293</v>
      </c>
      <c r="B5" s="53">
        <v>10</v>
      </c>
      <c r="C5" s="19"/>
      <c r="D5" s="19"/>
    </row>
    <row r="6" ht="20.05" customHeight="1">
      <c r="A6" t="s" s="52">
        <v>1294</v>
      </c>
      <c r="B6" s="53">
        <v>20</v>
      </c>
      <c r="C6" s="19"/>
      <c r="D6" s="19"/>
    </row>
    <row r="7" ht="20.25" customHeight="1">
      <c r="A7" t="s" s="57">
        <v>1295</v>
      </c>
      <c r="B7" s="58">
        <v>750</v>
      </c>
      <c r="C7" t="s" s="87">
        <v>1296</v>
      </c>
      <c r="D7" t="s" s="87">
        <v>1297</v>
      </c>
    </row>
    <row r="8" ht="20.25" customHeight="1">
      <c r="A8" s="75"/>
      <c r="B8" s="63" cm="1">
        <f t="array" ref="B8">SUM(B2:B7)</f>
        <v>2209</v>
      </c>
      <c r="C8" s="74"/>
      <c r="D8" s="74"/>
    </row>
  </sheetData>
  <hyperlinks>
    <hyperlink ref="D2" r:id="rId1" location="" tooltip="" display="https://www.mariages.net/organisation-mariage/made-for-you-events--e245673"/>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2:E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4.4297" style="238" customWidth="1"/>
    <col min="2" max="3" width="16.3516" style="238" customWidth="1"/>
    <col min="4" max="4" width="78.5" style="238" customWidth="1"/>
    <col min="5" max="5" width="31.9531" style="238" customWidth="1"/>
    <col min="6" max="16384" width="16.3516" style="238" customWidth="1"/>
  </cols>
  <sheetData>
    <row r="1" ht="27.65" customHeight="1">
      <c r="A1" t="s" s="45">
        <v>1298</v>
      </c>
      <c r="B1" s="45"/>
      <c r="C1" s="45"/>
      <c r="D1" s="45"/>
      <c r="E1" s="45"/>
    </row>
    <row r="2" ht="20.25" customHeight="1">
      <c r="A2" t="s" s="32">
        <v>209</v>
      </c>
      <c r="B2" t="s" s="32">
        <v>1081</v>
      </c>
      <c r="C2" t="s" s="32">
        <v>1082</v>
      </c>
      <c r="D2" t="s" s="32">
        <v>842</v>
      </c>
      <c r="E2" t="s" s="32">
        <v>1300</v>
      </c>
    </row>
    <row r="3" ht="44.25" customHeight="1">
      <c r="A3" t="s" s="33">
        <v>1301</v>
      </c>
      <c r="B3" t="s" s="80">
        <v>1302</v>
      </c>
      <c r="C3" s="49">
        <v>1000</v>
      </c>
      <c r="D3" t="s" s="68">
        <v>1303</v>
      </c>
      <c r="E3" t="s" s="68">
        <v>1304</v>
      </c>
    </row>
    <row r="4" ht="44.05" customHeight="1">
      <c r="A4" t="s" s="239">
        <v>130</v>
      </c>
      <c r="B4" t="s" s="240">
        <v>1302</v>
      </c>
      <c r="C4" s="241">
        <v>949</v>
      </c>
      <c r="D4" t="s" s="16">
        <v>1305</v>
      </c>
      <c r="E4" t="s" s="16">
        <v>1306</v>
      </c>
    </row>
  </sheetData>
  <mergeCells count="1">
    <mergeCell ref="A1:E1"/>
  </mergeCells>
  <hyperlinks>
    <hyperlink ref="E3" r:id="rId1" location="" tooltip="" display="Theperfectdate@outlook.fr"/>
    <hyperlink ref="E4" r:id="rId2" location="" tooltip="" display="tiphany.madeforyou@gmail.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C14"/>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2" width="16.3516" style="242" customWidth="1"/>
    <col min="3" max="3" width="106.625" style="242" customWidth="1"/>
    <col min="4" max="16384" width="16.3516" style="242" customWidth="1"/>
  </cols>
  <sheetData>
    <row r="1" ht="20.25" customHeight="1">
      <c r="A1" s="243"/>
      <c r="B1" t="s" s="32">
        <v>195</v>
      </c>
      <c r="C1" t="s" s="32">
        <v>498</v>
      </c>
    </row>
    <row r="2" ht="20.25" customHeight="1">
      <c r="A2" t="s" s="92">
        <v>231</v>
      </c>
      <c r="B2" s="244"/>
      <c r="C2" s="99"/>
    </row>
    <row r="3" ht="20.05" customHeight="1">
      <c r="A3" t="s" s="52">
        <v>1307</v>
      </c>
      <c r="B3" s="53">
        <v>300</v>
      </c>
      <c r="C3" s="19"/>
    </row>
    <row r="4" ht="20.05" customHeight="1">
      <c r="A4" t="s" s="52">
        <v>1308</v>
      </c>
      <c r="B4" s="53">
        <v>2500</v>
      </c>
      <c r="C4" s="19"/>
    </row>
    <row r="5" ht="20.05" customHeight="1">
      <c r="A5" t="s" s="52">
        <v>1309</v>
      </c>
      <c r="B5" s="53">
        <v>150</v>
      </c>
      <c r="C5" s="19"/>
    </row>
    <row r="6" ht="20.05" customHeight="1">
      <c r="A6" t="s" s="52">
        <v>1310</v>
      </c>
      <c r="B6" s="53">
        <v>100</v>
      </c>
      <c r="C6" s="19"/>
    </row>
    <row r="7" ht="20.05" customHeight="1">
      <c r="A7" t="s" s="52">
        <v>1311</v>
      </c>
      <c r="B7" s="53">
        <v>100</v>
      </c>
      <c r="C7" s="19"/>
    </row>
    <row r="8" ht="20.05" customHeight="1">
      <c r="A8" t="s" s="52">
        <v>1312</v>
      </c>
      <c r="B8" s="53">
        <v>50</v>
      </c>
      <c r="C8" s="19"/>
    </row>
    <row r="9" ht="20.05" customHeight="1">
      <c r="A9" t="s" s="52">
        <v>1313</v>
      </c>
      <c r="B9" s="245" cm="1">
        <f t="array" ref="B9">'Coiffure_Maquillage - Devis Mak'!C8</f>
        <v>830</v>
      </c>
      <c r="C9" s="19"/>
    </row>
    <row r="10" ht="20.05" customHeight="1">
      <c r="A10" t="s" s="96">
        <v>70</v>
      </c>
      <c r="B10" s="246"/>
      <c r="C10" s="100"/>
    </row>
    <row r="11" ht="20.05" customHeight="1">
      <c r="A11" t="s" s="52">
        <v>1314</v>
      </c>
      <c r="B11" s="53">
        <v>1000</v>
      </c>
      <c r="C11" t="s" s="16">
        <v>1315</v>
      </c>
    </row>
    <row r="12" ht="20.05" customHeight="1">
      <c r="A12" t="s" s="52">
        <v>1316</v>
      </c>
      <c r="B12" s="53">
        <v>2000</v>
      </c>
      <c r="C12" s="19"/>
    </row>
    <row r="13" ht="20.25" customHeight="1">
      <c r="A13" t="s" s="57">
        <v>1312</v>
      </c>
      <c r="B13" s="58"/>
      <c r="C13" s="23"/>
    </row>
    <row r="14" ht="20.25" customHeight="1">
      <c r="A14" s="75"/>
      <c r="B14" s="63" cm="1">
        <f t="array" ref="B14">SUM(B3:B13)</f>
        <v>7030</v>
      </c>
      <c r="C14" s="7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D4"/>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16.3516" style="247" customWidth="1"/>
    <col min="2" max="2" width="30.4766" style="247" customWidth="1"/>
    <col min="3" max="3" width="16.3516" style="247" customWidth="1"/>
    <col min="4" max="4" width="102.602" style="247" customWidth="1"/>
    <col min="5" max="16384" width="16.3516" style="247" customWidth="1"/>
  </cols>
  <sheetData>
    <row r="1" ht="20.25" customHeight="1">
      <c r="A1" s="248"/>
      <c r="B1" t="s" s="32">
        <v>842</v>
      </c>
      <c r="C1" t="s" s="32">
        <v>1082</v>
      </c>
      <c r="D1" t="s" s="32">
        <v>1275</v>
      </c>
    </row>
    <row r="2" ht="20.25" customHeight="1">
      <c r="A2" t="s" s="33">
        <v>1317</v>
      </c>
      <c r="B2" t="s" s="80">
        <v>1318</v>
      </c>
      <c r="C2" s="49">
        <v>750</v>
      </c>
      <c r="D2" t="s" s="68">
        <v>1319</v>
      </c>
    </row>
    <row r="3" ht="20.25" customHeight="1">
      <c r="A3" t="s" s="85">
        <v>1320</v>
      </c>
      <c r="B3" t="s" s="86">
        <v>1321</v>
      </c>
      <c r="C3" s="59">
        <v>500</v>
      </c>
      <c r="D3" t="s" s="87">
        <v>1322</v>
      </c>
    </row>
    <row r="4" ht="20.25" customHeight="1">
      <c r="A4" t="s" s="27">
        <v>191</v>
      </c>
      <c r="B4" s="75"/>
      <c r="C4" s="63" cm="1">
        <f t="array" ref="C4">SUM(C2:C3)</f>
        <v>1250</v>
      </c>
      <c r="D4" s="74"/>
    </row>
  </sheetData>
  <mergeCells count="1">
    <mergeCell ref="A4:B4"/>
  </mergeCells>
  <hyperlinks>
    <hyperlink ref="D2" r:id="rId1" location="" tooltip="" display="https://www.roadstr.fr/cars/porsche-boxster-type-981-2018-marly-le-roi"/>
    <hyperlink ref="D3" r:id="rId2" location="" tooltip="" display="https://www.lrm-collection.fr/Location-voiture-mariage,Yvelines,page-30,78,290,.ht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5" width="16.3516" style="249" customWidth="1"/>
    <col min="6" max="16384" width="16.3516" style="249" customWidth="1"/>
  </cols>
  <sheetData>
    <row r="1" ht="20.25" customHeight="1">
      <c r="A1" s="79"/>
      <c r="B1" t="s" s="32">
        <v>840</v>
      </c>
      <c r="C1" t="s" s="32">
        <v>841</v>
      </c>
      <c r="D1" t="s" s="32">
        <v>1325</v>
      </c>
      <c r="E1" t="s" s="32">
        <v>498</v>
      </c>
    </row>
    <row r="2" ht="20.25" customHeight="1">
      <c r="A2" t="s" s="47">
        <v>1326</v>
      </c>
      <c r="B2" s="250">
        <v>5</v>
      </c>
      <c r="C2" s="251" cm="1">
        <f t="array" ref="C2">B2*'Invités'!$O$91</f>
        <v>370</v>
      </c>
      <c r="D2" s="81"/>
      <c r="E2" s="81"/>
    </row>
    <row r="3" ht="20.05" customHeight="1">
      <c r="A3" t="s" s="52">
        <v>216</v>
      </c>
      <c r="B3" s="252">
        <v>3.86</v>
      </c>
      <c r="C3" s="253" cm="1">
        <f t="array" ref="C3">B3*'Invités'!$J$91</f>
        <v>115.8</v>
      </c>
      <c r="D3" s="19"/>
      <c r="E3" s="19"/>
    </row>
    <row r="4" ht="20.05" customHeight="1">
      <c r="A4" t="s" s="52">
        <v>1327</v>
      </c>
      <c r="B4" s="254"/>
      <c r="C4" s="255">
        <v>2500</v>
      </c>
      <c r="D4" s="19"/>
      <c r="E4" s="19"/>
    </row>
    <row r="5" ht="20.05" customHeight="1">
      <c r="A5" s="37"/>
      <c r="B5" s="254"/>
      <c r="C5" s="255"/>
      <c r="D5" s="19"/>
      <c r="E5" s="19"/>
    </row>
    <row r="6" ht="20.05" customHeight="1">
      <c r="A6" s="37"/>
      <c r="B6" s="254"/>
      <c r="C6" s="255"/>
      <c r="D6" s="19"/>
      <c r="E6" s="19"/>
    </row>
    <row r="7" ht="20.05" customHeight="1">
      <c r="A7" s="37"/>
      <c r="B7" s="254"/>
      <c r="C7" s="255"/>
      <c r="D7" s="19"/>
      <c r="E7" s="19"/>
    </row>
    <row r="8" ht="20.05" customHeight="1">
      <c r="A8" s="37"/>
      <c r="B8" s="254"/>
      <c r="C8" s="255"/>
      <c r="D8" s="19"/>
      <c r="E8" s="19"/>
    </row>
    <row r="9" ht="20.25" customHeight="1">
      <c r="A9" s="256"/>
      <c r="B9" s="257"/>
      <c r="C9" s="258"/>
      <c r="D9" s="23"/>
      <c r="E9" s="23"/>
    </row>
    <row r="10" ht="20.25" customHeight="1">
      <c r="A10" s="75"/>
      <c r="B10" s="259"/>
      <c r="C10" s="260" cm="1">
        <f t="array" ref="C10">SUM(C2:C9)</f>
        <v>2985.8</v>
      </c>
      <c r="D10" s="74"/>
      <c r="E10" s="7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2:E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4.4297" style="261" customWidth="1"/>
    <col min="2" max="3" width="16.3516" style="261" customWidth="1"/>
    <col min="4" max="4" width="78.5" style="261" customWidth="1"/>
    <col min="5" max="5" width="32.1797" style="261" customWidth="1"/>
    <col min="6" max="16384" width="16.3516" style="261" customWidth="1"/>
  </cols>
  <sheetData>
    <row r="1" ht="27.65" customHeight="1">
      <c r="A1" t="s" s="45">
        <v>1328</v>
      </c>
      <c r="B1" s="45"/>
      <c r="C1" s="45"/>
      <c r="D1" s="45"/>
      <c r="E1" s="45"/>
    </row>
    <row r="2" ht="20.25" customHeight="1">
      <c r="A2" t="s" s="32">
        <v>209</v>
      </c>
      <c r="B2" t="s" s="32">
        <v>1081</v>
      </c>
      <c r="C2" t="s" s="32">
        <v>1082</v>
      </c>
      <c r="D2" t="s" s="32">
        <v>1330</v>
      </c>
      <c r="E2" t="s" s="32">
        <v>1300</v>
      </c>
    </row>
    <row r="3" ht="22.55" customHeight="1">
      <c r="A3" t="s" s="262">
        <v>1331</v>
      </c>
      <c r="B3" t="s" s="263">
        <v>1332</v>
      </c>
      <c r="C3" s="264"/>
      <c r="D3" s="265"/>
      <c r="E3" t="s" s="266">
        <v>1333</v>
      </c>
    </row>
    <row r="4" ht="22.35" customHeight="1">
      <c r="A4" t="s" s="267">
        <v>1334</v>
      </c>
      <c r="B4" t="s" s="268">
        <v>1332</v>
      </c>
      <c r="C4" s="269"/>
      <c r="D4" s="270"/>
      <c r="E4" t="s" s="271">
        <v>1335</v>
      </c>
    </row>
    <row r="5" ht="22.35" customHeight="1">
      <c r="A5" t="s" s="267">
        <v>1336</v>
      </c>
      <c r="B5" t="s" s="268">
        <v>1332</v>
      </c>
      <c r="C5" s="269"/>
      <c r="D5" s="270"/>
      <c r="E5" t="s" s="271">
        <v>1337</v>
      </c>
    </row>
    <row r="6" ht="22.35" customHeight="1">
      <c r="A6" t="s" s="267">
        <v>1338</v>
      </c>
      <c r="B6" t="s" s="268">
        <v>1332</v>
      </c>
      <c r="C6" s="269"/>
      <c r="D6" s="270"/>
      <c r="E6" t="s" s="271">
        <v>1339</v>
      </c>
    </row>
    <row r="7" ht="22.35" customHeight="1">
      <c r="A7" t="s" s="267">
        <v>1340</v>
      </c>
      <c r="B7" t="s" s="268">
        <v>1332</v>
      </c>
      <c r="C7" s="269"/>
      <c r="D7" s="270"/>
      <c r="E7" t="s" s="271">
        <v>1341</v>
      </c>
    </row>
  </sheetData>
  <mergeCells count="1">
    <mergeCell ref="A1:E1"/>
  </mergeCells>
  <hyperlinks>
    <hyperlink ref="E3" r:id="rId1" location="" tooltip="" display="contact@maviedeboheme.fr"/>
    <hyperlink ref="E4" r:id="rId2" location="" tooltip="" display="contact@fannyfleurs.com"/>
    <hyperlink ref="E5" r:id="rId3" location="" tooltip="" display="delphine.tourne@wanadoo.fr"/>
    <hyperlink ref="E6" r:id="rId4" location="" tooltip="" display="latelierdefleurd@gmail.com"/>
    <hyperlink ref="E7" r:id="rId5" location="" tooltip="" display="desfleursencouleurs@outlook.fr"/>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2:E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4.4297" style="272" customWidth="1"/>
    <col min="2" max="3" width="16.3516" style="272" customWidth="1"/>
    <col min="4" max="4" width="78.5" style="272" customWidth="1"/>
    <col min="5" max="5" width="32.1797" style="272" customWidth="1"/>
    <col min="6" max="16384" width="16.3516" style="272" customWidth="1"/>
  </cols>
  <sheetData>
    <row r="1" ht="27.65" customHeight="1">
      <c r="A1" t="s" s="45">
        <v>1343</v>
      </c>
      <c r="B1" s="45"/>
      <c r="C1" s="45"/>
      <c r="D1" s="45"/>
      <c r="E1" s="45"/>
    </row>
    <row r="2" ht="20.25" customHeight="1">
      <c r="A2" t="s" s="32">
        <v>209</v>
      </c>
      <c r="B2" t="s" s="32">
        <v>1081</v>
      </c>
      <c r="C2" t="s" s="32">
        <v>1082</v>
      </c>
      <c r="D2" t="s" s="32">
        <v>1330</v>
      </c>
      <c r="E2" t="s" s="32">
        <v>1300</v>
      </c>
    </row>
    <row r="3" ht="20.25" customHeight="1">
      <c r="A3" t="s" s="33">
        <v>1345</v>
      </c>
      <c r="B3" t="s" s="80">
        <v>1346</v>
      </c>
      <c r="C3" s="49">
        <v>324</v>
      </c>
      <c r="D3" t="s" s="68">
        <v>1347</v>
      </c>
      <c r="E3" t="s" s="68">
        <v>1348</v>
      </c>
    </row>
    <row r="4" ht="32.05" customHeight="1">
      <c r="A4" t="s" s="14">
        <v>1349</v>
      </c>
      <c r="B4" t="s" s="83">
        <v>1346</v>
      </c>
      <c r="C4" s="54">
        <v>420</v>
      </c>
      <c r="D4" t="s" s="16">
        <v>1350</v>
      </c>
      <c r="E4" t="s" s="16">
        <v>1351</v>
      </c>
    </row>
    <row r="5" ht="20.05" customHeight="1">
      <c r="A5" t="s" s="14">
        <v>1352</v>
      </c>
      <c r="B5" t="s" s="83">
        <v>1346</v>
      </c>
      <c r="C5" s="54">
        <v>375</v>
      </c>
      <c r="D5" t="s" s="16">
        <v>1353</v>
      </c>
      <c r="E5" t="s" s="16">
        <v>1354</v>
      </c>
    </row>
    <row r="6" ht="20.35" customHeight="1">
      <c r="A6" t="s" s="14">
        <v>1355</v>
      </c>
      <c r="B6" t="s" s="83">
        <v>1346</v>
      </c>
      <c r="C6" s="54">
        <v>480</v>
      </c>
      <c r="D6" t="s" s="273">
        <v>1356</v>
      </c>
      <c r="E6" t="s" s="16">
        <v>1357</v>
      </c>
    </row>
    <row r="7" ht="56.05" customHeight="1">
      <c r="A7" t="s" s="274">
        <v>1358</v>
      </c>
      <c r="B7" t="s" s="83">
        <v>1359</v>
      </c>
      <c r="C7" s="54">
        <v>2300</v>
      </c>
      <c r="D7" t="s" s="16">
        <v>1360</v>
      </c>
      <c r="E7" t="s" s="16">
        <v>1361</v>
      </c>
    </row>
    <row r="8" ht="32.05" customHeight="1">
      <c r="A8" t="s" s="275">
        <v>1362</v>
      </c>
      <c r="B8" t="s" s="276">
        <v>1359</v>
      </c>
      <c r="C8" s="277">
        <v>830</v>
      </c>
      <c r="D8" t="s" s="16">
        <v>1363</v>
      </c>
      <c r="E8" t="s" s="16">
        <v>1364</v>
      </c>
    </row>
  </sheetData>
  <mergeCells count="1">
    <mergeCell ref="A1:E1"/>
  </mergeCells>
  <hyperlinks>
    <hyperlink ref="E3" r:id="rId1" location="" tooltip="" display="justine.lenik@laposte.net"/>
    <hyperlink ref="E4" r:id="rId2" location="" tooltip="" display="contact@gaellegilotmakeup.com"/>
    <hyperlink ref="E5" r:id="rId3" location="" tooltip="" display="maeliys_makeup28@orange.fr"/>
    <hyperlink ref="E6" r:id="rId4" location="" tooltip="" display="contact.evagelly@gmail.com"/>
    <hyperlink ref="E7" r:id="rId5" location="" tooltip="" display="margaux.frth@gmail.com"/>
    <hyperlink ref="E8" r:id="rId6" location="" tooltip="" display="estelle-louis28@hotmail.fr"/>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2:E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4.4297" style="278" customWidth="1"/>
    <col min="2" max="3" width="16.3516" style="278" customWidth="1"/>
    <col min="4" max="4" width="78.5" style="278" customWidth="1"/>
    <col min="5" max="5" width="32.5547" style="278" customWidth="1"/>
    <col min="6" max="16384" width="16.3516" style="278" customWidth="1"/>
  </cols>
  <sheetData>
    <row r="1" ht="27.65" customHeight="1">
      <c r="A1" t="s" s="45">
        <v>1365</v>
      </c>
      <c r="B1" s="45"/>
      <c r="C1" s="45"/>
      <c r="D1" s="45"/>
      <c r="E1" s="45"/>
    </row>
    <row r="2" ht="20.25" customHeight="1">
      <c r="A2" t="s" s="32">
        <v>209</v>
      </c>
      <c r="B2" t="s" s="32">
        <v>1081</v>
      </c>
      <c r="C2" t="s" s="32">
        <v>1082</v>
      </c>
      <c r="D2" t="s" s="32">
        <v>1330</v>
      </c>
      <c r="E2" t="s" s="32">
        <v>1300</v>
      </c>
    </row>
    <row r="3" ht="32.55" customHeight="1">
      <c r="A3" t="s" s="279">
        <v>1367</v>
      </c>
      <c r="B3" t="s" s="280">
        <v>1368</v>
      </c>
      <c r="C3" s="49">
        <v>1000</v>
      </c>
      <c r="D3" t="s" s="281">
        <v>1369</v>
      </c>
      <c r="E3" t="s" s="68">
        <v>1370</v>
      </c>
    </row>
    <row r="4" ht="32.05" customHeight="1">
      <c r="A4" t="s" s="14">
        <v>1371</v>
      </c>
      <c r="B4" t="s" s="282">
        <v>1368</v>
      </c>
      <c r="C4" s="54">
        <v>736</v>
      </c>
      <c r="D4" t="s" s="16">
        <v>1372</v>
      </c>
      <c r="E4" t="s" s="16">
        <v>1373</v>
      </c>
    </row>
  </sheetData>
  <mergeCells count="1">
    <mergeCell ref="A1:E1"/>
  </mergeCells>
  <hyperlinks>
    <hyperlink ref="E3" r:id="rId1" location="" tooltip="" display="piapaysant@gmail.com"/>
    <hyperlink ref="E4" r:id="rId2" location="" tooltip="" display="stephie-coiffure@hotmail.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C6"/>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2" width="16.3516" style="283" customWidth="1"/>
    <col min="3" max="3" width="79.5078" style="283" customWidth="1"/>
    <col min="4" max="16384" width="16.3516" style="283" customWidth="1"/>
  </cols>
  <sheetData>
    <row r="1" ht="20.25" customHeight="1">
      <c r="A1" t="s" s="284">
        <v>1374</v>
      </c>
      <c r="B1" t="s" s="32">
        <v>195</v>
      </c>
      <c r="C1" t="s" s="32">
        <v>498</v>
      </c>
    </row>
    <row r="2" ht="20.25" customHeight="1">
      <c r="A2" t="s" s="92">
        <v>231</v>
      </c>
      <c r="B2" s="244"/>
      <c r="C2" s="99"/>
    </row>
    <row r="3" ht="20.05" customHeight="1">
      <c r="A3" t="s" s="52">
        <v>1375</v>
      </c>
      <c r="B3" s="53">
        <v>1500</v>
      </c>
      <c r="C3" t="s" s="16">
        <v>1376</v>
      </c>
    </row>
    <row r="4" ht="20.05" customHeight="1">
      <c r="A4" t="s" s="96">
        <v>70</v>
      </c>
      <c r="B4" s="246"/>
      <c r="C4" s="100"/>
    </row>
    <row r="5" ht="20.25" customHeight="1">
      <c r="A5" t="s" s="57">
        <v>1377</v>
      </c>
      <c r="B5" s="58">
        <v>930</v>
      </c>
      <c r="C5" t="s" s="87">
        <v>1378</v>
      </c>
    </row>
    <row r="6" ht="20.25" customHeight="1">
      <c r="A6" s="75"/>
      <c r="B6" s="63" cm="1">
        <f t="array" ref="B6">B5+B3</f>
        <v>2430</v>
      </c>
      <c r="C6" s="74"/>
    </row>
  </sheetData>
  <hyperlinks>
    <hyperlink ref="C3" r:id="rId1" location="" tooltip="" display="https://www.diamondsfactory.fr/design/bague-demi-eternite-en-diamant-serti-griffes-clrn0530501"/>
    <hyperlink ref="C5" r:id="rId2" location="" tooltip="" display="https://www.cartier.com/fr-fr/jewellery/wedding-bands/1895/alliance-1895-largeur-2-5-mm-CRB4002300"/>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B6"/>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28.7031" style="285" customWidth="1"/>
    <col min="2" max="2" width="16.3516" style="285" customWidth="1"/>
    <col min="3" max="16384" width="16.3516" style="285" customWidth="1"/>
  </cols>
  <sheetData>
    <row r="1" ht="20.25" customHeight="1">
      <c r="A1" t="s" s="46">
        <v>1379</v>
      </c>
      <c r="B1" t="s" s="32">
        <v>195</v>
      </c>
    </row>
    <row r="2" ht="20.25" customHeight="1">
      <c r="A2" t="s" s="47">
        <v>1380</v>
      </c>
      <c r="B2" s="48">
        <v>233</v>
      </c>
    </row>
    <row r="3" ht="20.05" customHeight="1">
      <c r="A3" t="s" s="52">
        <v>1381</v>
      </c>
      <c r="B3" s="53">
        <v>125</v>
      </c>
    </row>
    <row r="4" ht="20.05" customHeight="1">
      <c r="A4" t="s" s="52">
        <v>1382</v>
      </c>
      <c r="B4" s="53">
        <v>13.99</v>
      </c>
    </row>
    <row r="5" ht="20.25" customHeight="1">
      <c r="A5" t="s" s="57">
        <v>1383</v>
      </c>
      <c r="B5" s="58">
        <v>6.99</v>
      </c>
    </row>
    <row r="6" ht="20.25" customHeight="1">
      <c r="A6" t="s" s="62">
        <v>191</v>
      </c>
      <c r="B6" s="286" cm="1">
        <f t="array" ref="B6">SUM(B2:B5)</f>
        <v>378.98</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33.xml><?xml version="1.0" encoding="utf-8"?>
<worksheet xmlns:r="http://schemas.openxmlformats.org/officeDocument/2006/relationships" xmlns="http://schemas.openxmlformats.org/spreadsheetml/2006/main">
  <sheetPr>
    <pageSetUpPr fitToPage="1"/>
  </sheetPr>
  <dimension ref="A1:D5"/>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4" width="16.3516" style="287" customWidth="1"/>
    <col min="5" max="16384" width="16.3516" style="287" customWidth="1"/>
  </cols>
  <sheetData>
    <row r="1" ht="20.25" customHeight="1">
      <c r="A1" s="79"/>
      <c r="B1" t="s" s="32">
        <v>1082</v>
      </c>
      <c r="C1" t="s" s="32">
        <v>842</v>
      </c>
      <c r="D1" t="s" s="32">
        <v>498</v>
      </c>
    </row>
    <row r="2" ht="20.25" customHeight="1">
      <c r="A2" t="s" s="47">
        <v>1384</v>
      </c>
      <c r="B2" s="48">
        <v>5000</v>
      </c>
      <c r="C2" s="81"/>
      <c r="D2" s="81"/>
    </row>
    <row r="3" ht="20.05" customHeight="1">
      <c r="A3" t="s" s="52">
        <v>1385</v>
      </c>
      <c r="B3" s="53"/>
      <c r="C3" s="19"/>
      <c r="D3" s="19"/>
    </row>
    <row r="4" ht="20.25" customHeight="1">
      <c r="A4" t="s" s="57">
        <v>1386</v>
      </c>
      <c r="B4" s="58"/>
      <c r="C4" s="23"/>
      <c r="D4" s="23"/>
    </row>
    <row r="5" ht="20.25" customHeight="1">
      <c r="A5" s="75"/>
      <c r="B5" s="63" cm="1">
        <f t="array" ref="B5">SUM(B2:B4)</f>
        <v>5000</v>
      </c>
      <c r="C5" s="74"/>
      <c r="D5" s="7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288" customWidth="1"/>
    <col min="6" max="16384" width="16.3516" style="288" customWidth="1"/>
  </cols>
  <sheetData>
    <row r="1" ht="27.65" customHeight="1">
      <c r="A1" t="s" s="45">
        <v>5</v>
      </c>
      <c r="B1" s="45"/>
      <c r="C1" s="45"/>
      <c r="D1" s="45"/>
      <c r="E1" s="45"/>
    </row>
    <row r="2" ht="20.25" customHeight="1">
      <c r="A2" s="79"/>
      <c r="B2" s="79"/>
      <c r="C2" s="79"/>
      <c r="D2" s="79"/>
      <c r="E2" s="79"/>
    </row>
    <row r="3" ht="20.25" customHeight="1">
      <c r="A3" s="232"/>
      <c r="B3" s="233"/>
      <c r="C3" s="94"/>
      <c r="D3" s="94"/>
      <c r="E3" s="94"/>
    </row>
    <row r="4" ht="20.05" customHeight="1">
      <c r="A4" s="37"/>
      <c r="B4" s="234"/>
      <c r="C4" s="43"/>
      <c r="D4" s="43"/>
      <c r="E4" s="43"/>
    </row>
    <row r="5" ht="20.05" customHeight="1">
      <c r="A5" s="37"/>
      <c r="B5" s="234"/>
      <c r="C5" s="43"/>
      <c r="D5" s="43"/>
      <c r="E5" s="43"/>
    </row>
    <row r="6" ht="20.05" customHeight="1">
      <c r="A6" s="37"/>
      <c r="B6" s="234"/>
      <c r="C6" s="43"/>
      <c r="D6" s="43"/>
      <c r="E6" s="43"/>
    </row>
    <row r="7" ht="20.05" customHeight="1">
      <c r="A7" s="37"/>
      <c r="B7" s="234"/>
      <c r="C7" s="43"/>
      <c r="D7" s="43"/>
      <c r="E7" s="43"/>
    </row>
    <row r="8" ht="20.05" customHeight="1">
      <c r="A8" s="37"/>
      <c r="B8" s="234"/>
      <c r="C8" s="43"/>
      <c r="D8" s="43"/>
      <c r="E8" s="43"/>
    </row>
    <row r="9" ht="20.05" customHeight="1">
      <c r="A9" s="37"/>
      <c r="B9" s="234"/>
      <c r="C9" s="43"/>
      <c r="D9" s="43"/>
      <c r="E9" s="43"/>
    </row>
    <row r="10" ht="20.05" customHeight="1">
      <c r="A10" s="37"/>
      <c r="B10" s="234"/>
      <c r="C10" s="43"/>
      <c r="D10" s="43"/>
      <c r="E10" s="43"/>
    </row>
    <row r="11" ht="20.05" customHeight="1">
      <c r="A11" s="37"/>
      <c r="B11" s="234"/>
      <c r="C11" s="43"/>
      <c r="D11" s="43"/>
      <c r="E11" s="43"/>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2:C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3" width="16.3516" style="289" customWidth="1"/>
    <col min="4" max="16384" width="16.3516" style="289" customWidth="1"/>
  </cols>
  <sheetData>
    <row r="1" ht="27.65" customHeight="1">
      <c r="A1" t="s" s="45">
        <v>170</v>
      </c>
      <c r="B1" s="45"/>
      <c r="C1" s="45"/>
    </row>
    <row r="2" ht="20.25" customHeight="1">
      <c r="A2" s="248"/>
      <c r="B2" t="s" s="32">
        <v>1082</v>
      </c>
      <c r="C2" t="s" s="32">
        <v>842</v>
      </c>
    </row>
    <row r="3" ht="44.25" customHeight="1">
      <c r="A3" t="s" s="33">
        <v>1390</v>
      </c>
      <c r="B3" s="290">
        <v>300</v>
      </c>
      <c r="C3" t="s" s="68">
        <v>1391</v>
      </c>
    </row>
    <row r="4" ht="56.05" customHeight="1">
      <c r="A4" t="s" s="14">
        <v>1392</v>
      </c>
      <c r="B4" s="291">
        <v>50</v>
      </c>
      <c r="C4" t="s" s="16">
        <v>1393</v>
      </c>
    </row>
    <row r="5" ht="56.05" customHeight="1">
      <c r="A5" t="s" s="14">
        <v>1392</v>
      </c>
      <c r="B5" s="291">
        <v>350</v>
      </c>
      <c r="C5" t="s" s="16">
        <v>1391</v>
      </c>
    </row>
    <row r="6" ht="20.05" customHeight="1">
      <c r="A6" s="17"/>
      <c r="B6" s="292" cm="1">
        <f t="array" ref="B6">B3+B4+B5</f>
        <v>700</v>
      </c>
      <c r="C6" s="19"/>
    </row>
  </sheetData>
  <mergeCells count="1">
    <mergeCell ref="A1:C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